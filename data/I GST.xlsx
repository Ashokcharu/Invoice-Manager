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wmf" ContentType="image/x-wmf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<sst xmlns="http://schemas.openxmlformats.org/spreadsheetml/2006/main" count="59" uniqueCount="53">
  <si>
    <t xml:space="preserve">TAX INVOICE</t>
  </si>
  <si>
    <t xml:space="preserve"> ADOODS GARMENTS </t>
  </si>
  <si>
    <t xml:space="preserve">ALL KINDS OF T-SHIRT MANUFACTURE</t>
  </si>
  <si>
    <t xml:space="preserve">88-1/50M, 1st FLOOR NEAR SRINIVASA THEATRE, </t>
  </si>
  <si>
    <t xml:space="preserve">ULAVARSANDHAI ROAD, HOSUR - 635 109</t>
  </si>
  <si>
    <t xml:space="preserve">GSTIN :33DJRPP6135G1ZW</t>
  </si>
  <si>
    <t xml:space="preserve">STATE: TAMIL NADU   CODE: 33</t>
  </si>
  <si>
    <t xml:space="preserve">                                                           Website : adoodshosur@gmail.com                   PHONE:-   9514109080 </t>
  </si>
  <si>
    <t xml:space="preserve">                                                                     Email : sales@adoods.com                                     6382208004</t>
  </si>
  <si>
    <t xml:space="preserve">BUYER DETAILS</t>
  </si>
  <si>
    <t xml:space="preserve">INVOICE DETAILS</t>
  </si>
  <si>
    <t xml:space="preserve">Sri Sairam college of Engineering</t>
  </si>
  <si>
    <t xml:space="preserve"> </t>
  </si>
  <si>
    <t xml:space="preserve">INVOICE NO</t>
  </si>
  <si>
    <t xml:space="preserve">DATE</t>
  </si>
  <si>
    <t xml:space="preserve">21 11 2025</t>
  </si>
  <si>
    <t xml:space="preserve">P.O NO</t>
  </si>
  <si>
    <t xml:space="preserve">Gst no: 
E. &amp; O.E
ADVANSH 
D
E. &amp; O.E
ADVANSH 
D</t>
  </si>
  <si>
    <t xml:space="preserve">SL.NO</t>
  </si>
  <si>
    <t xml:space="preserve">Description of Goods</t>
  </si>
  <si>
    <t xml:space="preserve">HSN/SAC</t>
  </si>
  <si>
    <t xml:space="preserve">Quantity</t>
  </si>
  <si>
    <t xml:space="preserve">Rate</t>
  </si>
  <si>
    <t xml:space="preserve">Per</t>
  </si>
  <si>
    <t xml:space="preserve">Amount</t>
  </si>
  <si>
    <t xml:space="preserve">T SHIRT</t>
  </si>
  <si>
    <t xml:space="preserve">NOS</t>
  </si>
  <si>
    <r>
      <rPr>
        <sz val="14"/>
        <color rgb="FF000000"/>
        <rFont val="Arial Black"/>
        <family val="0"/>
        <charset val="134"/>
      </rPr>
      <t xml:space="preserve">ADVANSH</t>
    </r>
    <r>
      <rPr>
        <i val="true"/>
        <sz val="14"/>
        <color rgb="FF000000"/>
        <rFont val="Arial Black"/>
        <family val="0"/>
        <charset val="134"/>
      </rPr>
      <t xml:space="preserve"> </t>
    </r>
  </si>
  <si>
    <t xml:space="preserve">ADVANSH  1000
</t>
  </si>
  <si>
    <t xml:space="preserve">IGST</t>
  </si>
  <si>
    <t xml:space="preserve">TOTAL</t>
  </si>
  <si>
    <t xml:space="preserve">E. &amp; O.E</t>
  </si>
  <si>
    <t xml:space="preserve">Amount Chargeable (in words)</t>
  </si>
  <si>
    <t xml:space="preserve">Taxable value</t>
  </si>
  <si>
    <t xml:space="preserve">Itigrated Tax</t>
  </si>
  <si>
    <t xml:space="preserve">State Tax</t>
  </si>
  <si>
    <t xml:space="preserve">Total Tax Amount</t>
  </si>
  <si>
    <t xml:space="preserve">Tax Amount (in words) :</t>
  </si>
  <si>
    <t xml:space="preserve">GP  :-9514109080 _6382208004</t>
  </si>
  <si>
    <t xml:space="preserve">BANK DETAILS:                </t>
  </si>
  <si>
    <t xml:space="preserve">NO OF BUNDLE'S :</t>
  </si>
  <si>
    <t xml:space="preserve">Bank Name</t>
  </si>
  <si>
    <t xml:space="preserve">K V B </t>
  </si>
  <si>
    <t xml:space="preserve">THROUGH :</t>
  </si>
  <si>
    <t xml:space="preserve">A/C. No</t>
  </si>
  <si>
    <t xml:space="preserve">.        1607135000011387</t>
  </si>
  <si>
    <t xml:space="preserve">Branch &amp; IFSC Code</t>
  </si>
  <si>
    <t xml:space="preserve">KVBL0001607</t>
  </si>
  <si>
    <t xml:space="preserve">Declaration</t>
  </si>
  <si>
    <t xml:space="preserve">for ADOODS GARMENTS</t>
  </si>
  <si>
    <t xml:space="preserve">We declare that the Invoice shows the actual price of the goods</t>
  </si>
  <si>
    <t xml:space="preserve">described and that all particulars are true and correct.</t>
  </si>
  <si>
    <t xml:space="preserve">Authorised Signatory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</si>
</sst>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General"/>
    <numFmt numFmtId="167" formatCode="0.00%"/>
  </numFmts>
  <fonts count="12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0"/>
      <charset val="134"/>
    </font>
    <font>
      <sz val="14"/>
      <color rgb="FF000000"/>
      <name val="Arial Black"/>
      <family val="0"/>
      <charset val="134"/>
    </font>
    <font>
      <b val="true"/>
      <sz val="48"/>
      <color rgb="FF000000"/>
      <name val="Arial Black"/>
      <family val="0"/>
      <charset val="134"/>
    </font>
    <font>
      <b val="true"/>
      <sz val="14"/>
      <color rgb="FF000000"/>
      <name val="Arial Black"/>
      <family val="0"/>
      <charset val="134"/>
    </font>
    <font>
      <i val="true"/>
      <sz val="14"/>
      <color rgb="FF000000"/>
      <name val="Arial Black"/>
      <family val="0"/>
      <charset val="134"/>
    </font>
    <font>
      <sz val="12"/>
      <color rgb="FF000000"/>
      <name val="Arial Black"/>
      <family val="0"/>
      <charset val="134"/>
    </font>
    <font>
      <sz val="20"/>
      <color rgb="FF000000"/>
      <name val="Arial Black"/>
      <family val="0"/>
      <charset val="134"/>
    </font>
    <font>
      <sz val="16"/>
      <color rgb="FF000000"/>
      <name val="Arial Black"/>
      <family val="0"/>
      <charset val="134"/>
    </font>
  </fonts>
  <fills count="2">
    <fill>
      <patternFill patternType="none"/>
    </fill>
    <fill>
      <patternFill patternType="gray125"/>
    </fill>
  </fills>
  <borders count="2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257040</xdr:colOff>
      <xdr:row>34</xdr:row>
      <xdr:rowOff>123840</xdr:rowOff>
    </xdr:from>
    <xdr:to>
      <xdr:col>5</xdr:col>
      <xdr:colOff>266400</xdr:colOff>
      <xdr:row>34</xdr:row>
      <xdr:rowOff>133200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10837440" y="12677760"/>
          <a:ext cx="9360" cy="936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A9" activeCellId="0" sqref="A9"/>
    </sheetView>
  </sheetViews>
  <sheetFormatPr defaultColWidth="9.14453125" defaultRowHeight="18.75" zeroHeight="false" outlineLevelRow="0" outlineLevelCol="0"/>
  <cols>
    <col collapsed="false" customWidth="true" hidden="false" outlineLevel="0" max="1" min="1" style="1" width="8.57"/>
    <col collapsed="false" customWidth="false" hidden="false" outlineLevel="0" max="2" min="2" style="1" width="9.14"/>
    <col collapsed="false" customWidth="true" hidden="false" outlineLevel="0" max="3" min="3" style="1" width="69"/>
    <col collapsed="false" customWidth="true" hidden="false" outlineLevel="0" max="4" min="4" style="1" width="17.71"/>
    <col collapsed="false" customWidth="true" hidden="false" outlineLevel="0" max="5" min="5" style="1" width="14.57"/>
    <col collapsed="false" customWidth="true" hidden="false" outlineLevel="0" max="6" min="6" style="1" width="14.43"/>
    <col collapsed="false" customWidth="true" hidden="false" outlineLevel="0" max="7" min="7" style="1" width="16.14"/>
    <col collapsed="false" customWidth="true" hidden="false" outlineLevel="0" max="8" min="8" style="1" width="24.28"/>
    <col collapsed="false" customWidth="false" hidden="false" outlineLevel="0" max="1024" min="9" style="1" width="9.14"/>
  </cols>
  <sheetData>
    <row r="1" customFormat="false" ht="22.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08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35.2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4" customFormat="false" ht="33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</row>
    <row r="5" customFormat="false" ht="31.5" hidden="false" customHeight="true" outlineLevel="0" collapsed="false">
      <c r="A5" s="4" t="s">
        <v>4</v>
      </c>
      <c r="B5" s="4"/>
      <c r="C5" s="4"/>
      <c r="D5" s="4"/>
      <c r="E5" s="4"/>
      <c r="F5" s="4"/>
      <c r="G5" s="4"/>
      <c r="H5" s="4"/>
    </row>
    <row r="6" customFormat="false" ht="27" hidden="false" customHeight="true" outlineLevel="0" collapsed="false">
      <c r="A6" s="4" t="s">
        <v>5</v>
      </c>
      <c r="B6" s="4"/>
      <c r="C6" s="4"/>
      <c r="D6" s="4"/>
      <c r="E6" s="4"/>
      <c r="F6" s="4"/>
      <c r="G6" s="4"/>
      <c r="H6" s="4"/>
    </row>
    <row r="7" customFormat="false" ht="30" hidden="false" customHeight="true" outlineLevel="0" collapsed="false">
      <c r="A7" s="4" t="s">
        <v>6</v>
      </c>
      <c r="B7" s="4"/>
      <c r="C7" s="4"/>
      <c r="D7" s="4"/>
      <c r="E7" s="4"/>
      <c r="F7" s="4"/>
      <c r="G7" s="4"/>
      <c r="H7" s="4"/>
    </row>
    <row r="8" customFormat="false" ht="32.25" hidden="false" customHeight="true" outlineLevel="0" collapsed="false">
      <c r="A8" s="4" t="s">
        <v>7</v>
      </c>
      <c r="B8" s="4"/>
      <c r="C8" s="4"/>
      <c r="D8" s="4"/>
      <c r="E8" s="4"/>
      <c r="F8" s="4"/>
      <c r="G8" s="4"/>
      <c r="H8" s="4"/>
    </row>
    <row r="9" customFormat="false" ht="23.25" hidden="false" customHeight="true" outlineLevel="0" collapsed="false">
      <c r="A9" s="5" t="s">
        <v>8</v>
      </c>
      <c r="B9" s="5"/>
      <c r="C9" s="5"/>
      <c r="D9" s="5"/>
      <c r="E9" s="5"/>
      <c r="F9" s="5"/>
      <c r="G9" s="5"/>
      <c r="H9" s="5"/>
    </row>
    <row r="10" customFormat="false" ht="71.25" hidden="false" customHeight="true" outlineLevel="0" collapsed="false">
      <c r="A10" s="6" t="s">
        <v>9</v>
      </c>
      <c r="B10" s="6"/>
      <c r="C10" s="6"/>
      <c r="D10" s="6"/>
      <c r="E10" s="6" t="s">
        <v>10</v>
      </c>
      <c r="F10" s="6"/>
      <c r="G10" s="6"/>
      <c r="H10" s="6"/>
    </row>
    <row r="11" customFormat="false" ht="22.5" hidden="false" customHeight="true" outlineLevel="0" collapsed="false">
      <c r="A11" s="7" t="s">
        <v>11</v>
      </c>
      <c r="B11" s="7"/>
      <c r="C11" s="7"/>
      <c r="D11" s="7"/>
      <c r="E11" s="6" t="s">
        <v>12</v>
      </c>
      <c r="F11" s="6"/>
      <c r="G11" s="6"/>
      <c r="H11" s="6"/>
    </row>
    <row r="12" customFormat="false" ht="22.5" hidden="false" customHeight="false" outlineLevel="0" collapsed="false">
      <c r="A12" s="8"/>
      <c r="B12" s="8"/>
      <c r="C12" s="8"/>
      <c r="D12" s="8"/>
      <c r="E12" s="9" t="s">
        <v>13</v>
      </c>
      <c r="F12" s="10" t="n">
        <v>327</v>
      </c>
      <c r="G12" s="11" t="s">
        <v>14</v>
      </c>
      <c r="H12" s="12" t="s">
        <v>15</v>
      </c>
    </row>
    <row r="13" customFormat="false" ht="22.5" hidden="false" customHeight="false" outlineLevel="0" collapsed="false">
      <c r="A13" s="7"/>
      <c r="B13" s="7"/>
      <c r="C13" s="7"/>
      <c r="D13" s="7"/>
      <c r="E13" s="9" t="s">
        <v>16</v>
      </c>
      <c r="F13" s="13"/>
      <c r="G13" s="11" t="s">
        <v>14</v>
      </c>
      <c r="H13" s="12"/>
    </row>
    <row r="14" customFormat="false" ht="52.5" hidden="false" customHeight="true" outlineLevel="0" collapsed="false">
      <c r="A14" s="9"/>
      <c r="B14" s="11"/>
      <c r="C14" s="11"/>
      <c r="D14" s="11"/>
      <c r="E14" s="9"/>
      <c r="F14" s="11"/>
      <c r="G14" s="11"/>
      <c r="H14" s="12"/>
    </row>
    <row r="15" customFormat="false" ht="22.5" hidden="false" customHeight="true" outlineLevel="0" collapsed="false">
      <c r="A15" s="7" t="s">
        <v>17</v>
      </c>
      <c r="B15" s="7"/>
      <c r="C15" s="7"/>
      <c r="D15" s="7"/>
      <c r="E15" s="14"/>
      <c r="F15" s="14"/>
      <c r="G15" s="14"/>
      <c r="H15" s="14"/>
    </row>
    <row r="16" customFormat="false" ht="22.5" hidden="false" customHeight="false" outlineLevel="0" collapsed="false">
      <c r="A16" s="2" t="s">
        <v>18</v>
      </c>
      <c r="B16" s="2" t="s">
        <v>19</v>
      </c>
      <c r="C16" s="2"/>
      <c r="D16" s="2" t="s">
        <v>20</v>
      </c>
      <c r="E16" s="2" t="s">
        <v>21</v>
      </c>
      <c r="F16" s="2" t="s">
        <v>22</v>
      </c>
      <c r="G16" s="2" t="s">
        <v>23</v>
      </c>
      <c r="H16" s="15" t="s">
        <v>24</v>
      </c>
    </row>
    <row r="17" customFormat="false" ht="22.5" hidden="false" customHeight="false" outlineLevel="0" collapsed="false">
      <c r="A17" s="16"/>
      <c r="B17" s="16"/>
      <c r="C17" s="16"/>
      <c r="D17" s="16"/>
      <c r="E17" s="16"/>
      <c r="F17" s="16"/>
      <c r="G17" s="16"/>
      <c r="H17" s="17"/>
    </row>
    <row r="18" customFormat="false" ht="22.5" hidden="false" customHeight="false" outlineLevel="0" collapsed="false">
      <c r="A18" s="16" t="n">
        <v>1</v>
      </c>
      <c r="B18" s="16" t="s">
        <v>25</v>
      </c>
      <c r="C18" s="16"/>
      <c r="D18" s="16"/>
      <c r="E18" s="18" t="n">
        <v>1500</v>
      </c>
      <c r="F18" s="18" t="n">
        <v>320</v>
      </c>
      <c r="G18" s="16" t="s">
        <v>26</v>
      </c>
      <c r="H18" s="19" t="n">
        <f aca="false">F18*E18</f>
        <v>480000</v>
      </c>
    </row>
    <row r="19" customFormat="false" ht="22.5" hidden="false" customHeight="false" outlineLevel="0" collapsed="false">
      <c r="A19" s="16" t="n">
        <v>2</v>
      </c>
      <c r="B19" s="16"/>
      <c r="C19" s="16"/>
      <c r="D19" s="16"/>
      <c r="E19" s="18"/>
      <c r="F19" s="18"/>
      <c r="G19" s="16"/>
      <c r="H19" s="19"/>
    </row>
    <row r="20" customFormat="false" ht="22.5" hidden="false" customHeight="false" outlineLevel="0" collapsed="false">
      <c r="A20" s="16" t="n">
        <v>3</v>
      </c>
      <c r="B20" s="16"/>
      <c r="C20" s="16"/>
      <c r="D20" s="16"/>
      <c r="E20" s="18"/>
      <c r="F20" s="18"/>
      <c r="G20" s="16"/>
      <c r="H20" s="19"/>
    </row>
    <row r="21" customFormat="false" ht="22.5" hidden="false" customHeight="false" outlineLevel="0" collapsed="false">
      <c r="A21" s="16" t="n">
        <v>4</v>
      </c>
      <c r="B21" s="16"/>
      <c r="C21" s="16"/>
      <c r="D21" s="16"/>
      <c r="E21" s="16"/>
      <c r="F21" s="18"/>
      <c r="G21" s="16"/>
      <c r="H21" s="19"/>
    </row>
    <row r="22" customFormat="false" ht="22.5" hidden="false" customHeight="false" outlineLevel="0" collapsed="false">
      <c r="A22" s="16" t="n">
        <v>5</v>
      </c>
      <c r="B22" s="16"/>
      <c r="C22" s="16"/>
      <c r="D22" s="16"/>
      <c r="E22" s="16"/>
      <c r="F22" s="18"/>
      <c r="G22" s="16"/>
      <c r="H22" s="19"/>
    </row>
    <row r="23" customFormat="false" ht="22.5" hidden="false" customHeight="false" outlineLevel="0" collapsed="false">
      <c r="A23" s="16" t="n">
        <v>6</v>
      </c>
      <c r="B23" s="10"/>
      <c r="C23" s="10"/>
      <c r="D23" s="16"/>
      <c r="E23" s="16"/>
      <c r="F23" s="18"/>
      <c r="G23" s="16"/>
      <c r="H23" s="19"/>
    </row>
    <row r="24" customFormat="false" ht="22.5" hidden="false" customHeight="false" outlineLevel="0" collapsed="false">
      <c r="A24" s="16" t="n">
        <v>7</v>
      </c>
      <c r="B24" s="10"/>
      <c r="C24" s="11"/>
      <c r="D24" s="16"/>
      <c r="E24" s="16"/>
      <c r="F24" s="18"/>
      <c r="G24" s="16"/>
      <c r="H24" s="19"/>
    </row>
    <row r="25" customFormat="false" ht="22.5" hidden="false" customHeight="false" outlineLevel="0" collapsed="false">
      <c r="A25" s="16" t="n">
        <v>8</v>
      </c>
      <c r="B25" s="11"/>
      <c r="C25" s="11"/>
      <c r="D25" s="16"/>
      <c r="E25" s="16"/>
      <c r="F25" s="18"/>
      <c r="G25" s="16"/>
      <c r="H25" s="19"/>
    </row>
    <row r="26" customFormat="false" ht="22.5" hidden="false" customHeight="false" outlineLevel="0" collapsed="false">
      <c r="A26" s="16" t="n">
        <v>9</v>
      </c>
      <c r="B26" s="16" t="s">
        <v>27</v>
      </c>
      <c r="C26" s="16"/>
      <c r="D26" s="16"/>
      <c r="E26" s="16"/>
      <c r="F26" s="18"/>
      <c r="G26" s="16"/>
      <c r="H26" s="19"/>
    </row>
    <row r="27" customFormat="false" ht="22.5" hidden="false" customHeight="true" outlineLevel="0" collapsed="false">
      <c r="A27" s="16" t="n">
        <v>10</v>
      </c>
      <c r="B27" s="20" t="s">
        <v>28</v>
      </c>
      <c r="C27" s="20"/>
      <c r="D27" s="16"/>
      <c r="E27" s="16"/>
      <c r="F27" s="18"/>
      <c r="G27" s="16"/>
      <c r="H27" s="19"/>
    </row>
    <row r="28" customFormat="false" ht="22.5" hidden="false" customHeight="false" outlineLevel="0" collapsed="false">
      <c r="A28" s="16"/>
      <c r="B28" s="16"/>
      <c r="C28" s="16"/>
      <c r="D28" s="16"/>
      <c r="E28" s="16"/>
      <c r="F28" s="18"/>
      <c r="G28" s="16"/>
      <c r="H28" s="21" t="n">
        <f aca="false">SUM(H18:H27)</f>
        <v>480000</v>
      </c>
    </row>
    <row r="29" customFormat="false" ht="22.5" hidden="false" customHeight="false" outlineLevel="0" collapsed="false">
      <c r="A29" s="22"/>
      <c r="B29" s="23" t="s">
        <v>29</v>
      </c>
      <c r="C29" s="23"/>
      <c r="D29" s="24"/>
      <c r="E29" s="24"/>
      <c r="F29" s="25"/>
      <c r="G29" s="24"/>
      <c r="H29" s="26" t="n">
        <f aca="false">H28*5/100</f>
        <v>24000</v>
      </c>
    </row>
    <row r="30" customFormat="false" ht="22.5" hidden="false" customHeight="false" outlineLevel="0" collapsed="false">
      <c r="A30" s="22"/>
      <c r="B30" s="23"/>
      <c r="C30" s="23"/>
      <c r="D30" s="24"/>
      <c r="E30" s="24"/>
      <c r="F30" s="25"/>
      <c r="G30" s="24"/>
      <c r="H30" s="26"/>
    </row>
    <row r="31" customFormat="false" ht="31.5" hidden="false" customHeight="true" outlineLevel="0" collapsed="false">
      <c r="A31" s="16"/>
      <c r="B31" s="27" t="s">
        <v>30</v>
      </c>
      <c r="C31" s="27"/>
      <c r="D31" s="16"/>
      <c r="E31" s="16"/>
      <c r="F31" s="18"/>
      <c r="G31" s="16"/>
      <c r="H31" s="28" t="n">
        <f aca="false">SUM(H28:H30)</f>
        <v>504000</v>
      </c>
    </row>
    <row r="32" customFormat="false" ht="22.5" hidden="false" customHeight="false" outlineLevel="0" collapsed="false">
      <c r="A32" s="29"/>
      <c r="B32" s="30"/>
      <c r="C32" s="30"/>
      <c r="D32" s="31" t="s">
        <v>31</v>
      </c>
      <c r="E32" s="31"/>
      <c r="F32" s="31"/>
      <c r="G32" s="31"/>
      <c r="H32" s="31"/>
    </row>
    <row r="33" customFormat="false" ht="22.5" hidden="false" customHeight="false" outlineLevel="0" collapsed="false">
      <c r="A33" s="9" t="s">
        <v>32</v>
      </c>
      <c r="B33" s="11"/>
      <c r="C33" s="11"/>
      <c r="D33" s="11"/>
      <c r="E33" s="11"/>
      <c r="F33" s="11"/>
      <c r="G33" s="11"/>
      <c r="H33" s="12"/>
    </row>
    <row r="34" customFormat="false" ht="17.25" hidden="false" customHeight="true" outlineLevel="0" collapsed="false">
      <c r="A34" s="9"/>
      <c r="B34" s="11"/>
      <c r="C34" s="11"/>
      <c r="D34" s="11"/>
      <c r="E34" s="11"/>
      <c r="F34" s="11"/>
      <c r="G34" s="11"/>
      <c r="H34" s="12"/>
    </row>
    <row r="35" customFormat="false" ht="45" hidden="false" customHeight="true" outlineLevel="0" collapsed="false">
      <c r="A35" s="32" t="s">
        <v>20</v>
      </c>
      <c r="B35" s="33"/>
      <c r="C35" s="33" t="s">
        <v>33</v>
      </c>
      <c r="D35" s="33" t="s">
        <v>34</v>
      </c>
      <c r="E35" s="33"/>
      <c r="F35" s="33" t="s">
        <v>35</v>
      </c>
      <c r="G35" s="33"/>
      <c r="H35" s="34" t="s">
        <v>36</v>
      </c>
    </row>
    <row r="36" customFormat="false" ht="22.5" hidden="false" customHeight="false" outlineLevel="0" collapsed="false">
      <c r="A36" s="35"/>
      <c r="B36" s="36"/>
      <c r="C36" s="33"/>
      <c r="D36" s="36" t="s">
        <v>22</v>
      </c>
      <c r="E36" s="36" t="s">
        <v>24</v>
      </c>
      <c r="F36" s="36"/>
      <c r="G36" s="36"/>
      <c r="H36" s="34"/>
    </row>
    <row r="37" customFormat="false" ht="22.5" hidden="false" customHeight="false" outlineLevel="0" collapsed="false">
      <c r="A37" s="37" t="n">
        <v>6006</v>
      </c>
      <c r="B37" s="38"/>
      <c r="C37" s="39" t="n">
        <f aca="false">H28</f>
        <v>480000</v>
      </c>
      <c r="D37" s="40" t="n">
        <v>0.05</v>
      </c>
      <c r="E37" s="38" t="n">
        <f aca="false">+C37*D37</f>
        <v>24000</v>
      </c>
      <c r="F37" s="40"/>
      <c r="G37" s="38"/>
      <c r="H37" s="41" t="n">
        <f aca="false">E37</f>
        <v>24000</v>
      </c>
    </row>
    <row r="38" customFormat="false" ht="22.5" hidden="false" customHeight="false" outlineLevel="0" collapsed="false">
      <c r="A38" s="42" t="s">
        <v>30</v>
      </c>
      <c r="B38" s="43"/>
      <c r="C38" s="44" t="n">
        <f aca="false">SUM(C37)</f>
        <v>480000</v>
      </c>
      <c r="D38" s="45"/>
      <c r="E38" s="45" t="n">
        <f aca="false">SUM(E37)</f>
        <v>24000</v>
      </c>
      <c r="F38" s="45"/>
      <c r="G38" s="45"/>
      <c r="H38" s="46" t="n">
        <f aca="false">SUM(H37)</f>
        <v>24000</v>
      </c>
    </row>
    <row r="39" customFormat="false" ht="22.5" hidden="false" customHeight="false" outlineLevel="0" collapsed="false">
      <c r="A39" s="9" t="s">
        <v>37</v>
      </c>
      <c r="B39" s="11"/>
      <c r="C39" s="11"/>
      <c r="D39" s="11"/>
      <c r="E39" s="11"/>
      <c r="F39" s="11"/>
      <c r="G39" s="11"/>
      <c r="H39" s="12"/>
    </row>
    <row r="40" customFormat="false" ht="22.5" hidden="false" customHeight="false" outlineLevel="0" collapsed="false">
      <c r="A40" s="9"/>
      <c r="B40" s="11"/>
      <c r="C40" s="11"/>
      <c r="D40" s="11"/>
      <c r="E40" s="11"/>
      <c r="F40" s="11"/>
      <c r="G40" s="11"/>
      <c r="H40" s="12"/>
    </row>
    <row r="41" customFormat="false" ht="22.5" hidden="false" customHeight="false" outlineLevel="0" collapsed="false">
      <c r="A41" s="47"/>
      <c r="B41" s="48"/>
      <c r="C41" s="48"/>
      <c r="D41" s="11"/>
      <c r="E41" s="11"/>
      <c r="F41" s="49"/>
      <c r="G41" s="11"/>
      <c r="H41" s="12"/>
    </row>
    <row r="42" customFormat="false" ht="22.5" hidden="false" customHeight="false" outlineLevel="0" collapsed="false">
      <c r="A42" s="9"/>
      <c r="B42" s="11"/>
      <c r="C42" s="50"/>
      <c r="D42" s="51"/>
      <c r="E42" s="30"/>
      <c r="F42" s="30" t="s">
        <v>38</v>
      </c>
      <c r="G42" s="30"/>
      <c r="H42" s="52"/>
    </row>
    <row r="43" customFormat="false" ht="22.5" hidden="false" customHeight="false" outlineLevel="0" collapsed="false">
      <c r="A43" s="9"/>
      <c r="B43" s="11"/>
      <c r="C43" s="11"/>
      <c r="D43" s="53" t="s">
        <v>39</v>
      </c>
      <c r="E43" s="53"/>
      <c r="F43" s="53"/>
      <c r="G43" s="53"/>
      <c r="H43" s="53"/>
    </row>
    <row r="44" customFormat="false" ht="22.5" hidden="false" customHeight="false" outlineLevel="0" collapsed="false">
      <c r="A44" s="9" t="s">
        <v>40</v>
      </c>
      <c r="B44" s="11"/>
      <c r="C44" s="12"/>
      <c r="D44" s="9" t="s">
        <v>41</v>
      </c>
      <c r="E44" s="9"/>
      <c r="F44" s="17" t="s">
        <v>42</v>
      </c>
      <c r="G44" s="17"/>
      <c r="H44" s="17"/>
    </row>
    <row r="45" customFormat="false" ht="22.5" hidden="false" customHeight="false" outlineLevel="0" collapsed="false">
      <c r="A45" s="9" t="s">
        <v>43</v>
      </c>
      <c r="B45" s="54"/>
      <c r="C45" s="12"/>
      <c r="D45" s="9" t="s">
        <v>44</v>
      </c>
      <c r="E45" s="9"/>
      <c r="F45" s="17" t="s">
        <v>45</v>
      </c>
      <c r="G45" s="17"/>
      <c r="H45" s="17"/>
    </row>
    <row r="46" customFormat="false" ht="22.5" hidden="false" customHeight="false" outlineLevel="0" collapsed="false">
      <c r="A46" s="47"/>
      <c r="B46" s="48"/>
      <c r="C46" s="55"/>
      <c r="D46" s="47" t="s">
        <v>46</v>
      </c>
      <c r="E46" s="47"/>
      <c r="F46" s="56" t="s">
        <v>47</v>
      </c>
      <c r="G46" s="56"/>
      <c r="H46" s="56"/>
    </row>
    <row r="47" customFormat="false" ht="31.5" hidden="false" customHeight="false" outlineLevel="0" collapsed="false">
      <c r="A47" s="57" t="s">
        <v>48</v>
      </c>
      <c r="B47" s="50"/>
      <c r="C47" s="50"/>
      <c r="D47" s="50"/>
      <c r="E47" s="50"/>
      <c r="F47" s="58" t="s">
        <v>49</v>
      </c>
      <c r="G47" s="58"/>
      <c r="H47" s="58"/>
    </row>
    <row r="48" customFormat="false" ht="22.5" hidden="false" customHeight="false" outlineLevel="0" collapsed="false">
      <c r="A48" s="59" t="s">
        <v>50</v>
      </c>
      <c r="B48" s="60"/>
      <c r="C48" s="60"/>
      <c r="D48" s="11"/>
      <c r="E48" s="11"/>
      <c r="F48" s="12" t="s">
        <v>12</v>
      </c>
      <c r="G48" s="12"/>
      <c r="H48" s="12"/>
    </row>
    <row r="49" customFormat="false" ht="18.75" hidden="false" customHeight="true" outlineLevel="0" collapsed="false">
      <c r="A49" s="9" t="s">
        <v>51</v>
      </c>
      <c r="B49" s="11"/>
      <c r="C49" s="11"/>
      <c r="D49" s="11"/>
      <c r="E49" s="11"/>
      <c r="F49" s="12"/>
      <c r="G49" s="12"/>
      <c r="H49" s="12"/>
    </row>
    <row r="50" customFormat="false" ht="117.75" hidden="false" customHeight="true" outlineLevel="0" collapsed="false">
      <c r="A50" s="47"/>
      <c r="B50" s="48"/>
      <c r="C50" s="48"/>
      <c r="D50" s="48"/>
      <c r="E50" s="48"/>
      <c r="F50" s="61" t="s">
        <v>52</v>
      </c>
      <c r="G50" s="61"/>
      <c r="H50" s="61"/>
    </row>
  </sheetData>
  <mergeCells count="45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D10"/>
    <mergeCell ref="E10:H10"/>
    <mergeCell ref="A11:D11"/>
    <mergeCell ref="E11:H11"/>
    <mergeCell ref="A12:D12"/>
    <mergeCell ref="A13:D13"/>
    <mergeCell ref="A15:D15"/>
    <mergeCell ref="E15:H15"/>
    <mergeCell ref="B16:C16"/>
    <mergeCell ref="B17:C17"/>
    <mergeCell ref="B18:C18"/>
    <mergeCell ref="B19:C19"/>
    <mergeCell ref="B20:C20"/>
    <mergeCell ref="B21:C21"/>
    <mergeCell ref="B22:C22"/>
    <mergeCell ref="B26:C26"/>
    <mergeCell ref="B27:C27"/>
    <mergeCell ref="B28:C28"/>
    <mergeCell ref="B29:C29"/>
    <mergeCell ref="B30:C30"/>
    <mergeCell ref="B31:C31"/>
    <mergeCell ref="D32:H32"/>
    <mergeCell ref="C35:C36"/>
    <mergeCell ref="D35:E35"/>
    <mergeCell ref="F35:G35"/>
    <mergeCell ref="H35:H36"/>
    <mergeCell ref="D43:H43"/>
    <mergeCell ref="D44:E44"/>
    <mergeCell ref="F44:H44"/>
    <mergeCell ref="D45:E45"/>
    <mergeCell ref="F45:H45"/>
    <mergeCell ref="D46:E46"/>
    <mergeCell ref="F46:H46"/>
    <mergeCell ref="F47:H47"/>
    <mergeCell ref="F48:H49"/>
    <mergeCell ref="F50:H50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5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2021-06-29T12:50:00Z</dcterms:created>
  <dc:creator>user</dc:creator>
  <dc:description/>
  <dc:language>en-US</dc:language>
  <cp:lastModifiedBy/>
  <cp:lastPrinted>2026-07-20T09:19:24Z</cp:lastPrinted>
  <dcterms:modified xsi:type="dcterms:W3CDTF">2026-10-03T18:22:24Z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3809387EEF0B48F6AE836F63D3B889E3_12</vt:lpwstr>
  </property>
  <property fmtid="{D5CDD505-2E9C-101B-9397-08002B2CF9AE}" pid="3" name="KSOProductBuildVer">
    <vt:lpwstr>2057-12.2.0.23155</vt:lpwstr>
  </property>
</Properties>
</file>