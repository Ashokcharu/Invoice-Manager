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wmf" ContentType="image/x-wmf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2"/>
  </sheets>
  <definedNames>
    <definedName function="false" hidden="false" localSheetId="0" name="_xlnm.Print_Area" vbProcedure="false">MAIN!$A$1:$H$52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<sst xmlns="http://schemas.openxmlformats.org/spreadsheetml/2006/main" count="67" uniqueCount="57">
  <si>
    <t xml:space="preserve">TAX INVOICE</t>
  </si>
  <si>
    <t xml:space="preserve"> ADOODS GARMENTS &amp; SPORTS</t>
  </si>
  <si>
    <t xml:space="preserve">ALL KINDS OF T-SHIRT MANUFACTURE</t>
  </si>
  <si>
    <t xml:space="preserve">88-1/50M, 1st FLOOR NEAR SRINIVASA THEATRE, </t>
  </si>
  <si>
    <t xml:space="preserve">ULAVARSANDHAI ROAD, HOSUR - 635 109</t>
  </si>
  <si>
    <t xml:space="preserve">GSTIN :33DJRPP6135G1ZW</t>
  </si>
  <si>
    <t xml:space="preserve">STATE: TAMIL NADU   CODE: 33</t>
  </si>
  <si>
    <r>
      <rPr>
        <sz val="13"/>
        <color rgb="FF000000"/>
        <rFont val="Arial Black"/>
        <family val="0"/>
        <charset val="134"/>
      </rPr>
      <t xml:space="preserve">                                             Website : adoodshosur@gmail.com                    PHONE:-  </t>
    </r>
    <r>
      <rPr>
        <sz val="16"/>
        <color rgb="FF000000"/>
        <rFont val="Arial Black"/>
        <family val="0"/>
        <charset val="134"/>
      </rPr>
      <t xml:space="preserve"> 9514109080 </t>
    </r>
  </si>
  <si>
    <t xml:space="preserve"> </t>
  </si>
  <si>
    <r>
      <rPr>
        <sz val="13"/>
        <color rgb="FF000000"/>
        <rFont val="Arial Black"/>
        <family val="0"/>
        <charset val="134"/>
      </rPr>
      <t xml:space="preserve">                                                   Email : sales@adoods.com                                        </t>
    </r>
    <r>
      <rPr>
        <sz val="16"/>
        <color rgb="FF000000"/>
        <rFont val="Arial Black"/>
        <family val="0"/>
        <charset val="134"/>
      </rPr>
      <t xml:space="preserve"> 6382208004</t>
    </r>
  </si>
  <si>
    <t xml:space="preserve">BUYER DETAILS</t>
  </si>
  <si>
    <t xml:space="preserve">INVOICE DETAILS</t>
  </si>
  <si>
    <t xml:space="preserve">Unnathi hr solution</t>
  </si>
  <si>
    <t xml:space="preserve">
</t>
  </si>
  <si>
    <t xml:space="preserve">INVOICE NO</t>
  </si>
  <si>
    <t xml:space="preserve">DATE</t>
  </si>
  <si>
    <t xml:space="preserve">18 9 2026</t>
  </si>
  <si>
    <t xml:space="preserve">P.O NO</t>
  </si>
  <si>
    <t xml:space="preserve">Mobile: 8098374113, 9865757486</t>
  </si>
  <si>
    <t xml:space="preserve">\</t>
  </si>
  <si>
    <t xml:space="preserve">Gst no: 33AEBPL4738H1ZN</t>
  </si>
  <si>
    <t xml:space="preserve">SL.NO</t>
  </si>
  <si>
    <t xml:space="preserve">Description of Goods</t>
  </si>
  <si>
    <t xml:space="preserve">HSN/SAC</t>
  </si>
  <si>
    <t xml:space="preserve">Quantity</t>
  </si>
  <si>
    <t xml:space="preserve">Rate</t>
  </si>
  <si>
    <t xml:space="preserve">Per</t>
  </si>
  <si>
    <t xml:space="preserve">Amount</t>
  </si>
  <si>
    <t xml:space="preserve">T SHIRT</t>
  </si>
  <si>
    <t xml:space="preserve">NOS</t>
  </si>
  <si>
    <r>
      <rPr>
        <sz val="12"/>
        <color rgb="FF000000"/>
        <rFont val="Arial Black"/>
        <family val="0"/>
        <charset val="134"/>
      </rPr>
      <t xml:space="preserve">ADVANSH</t>
    </r>
    <r>
      <rPr>
        <i val="true"/>
        <sz val="12"/>
        <color rgb="FF000000"/>
        <rFont val="Arial Black"/>
        <family val="0"/>
        <charset val="134"/>
      </rPr>
      <t xml:space="preserve"> </t>
    </r>
  </si>
  <si>
    <t xml:space="preserve">CGST</t>
  </si>
  <si>
    <t xml:space="preserve">SGST</t>
  </si>
  <si>
    <t xml:space="preserve">TOTAL</t>
  </si>
  <si>
    <t xml:space="preserve">E. &amp; O.E</t>
  </si>
  <si>
    <t xml:space="preserve">Amount Chargeable (in words)</t>
  </si>
  <si>
    <t xml:space="preserve">Taxable value</t>
  </si>
  <si>
    <t xml:space="preserve">Central Tax</t>
  </si>
  <si>
    <t xml:space="preserve">State Tax</t>
  </si>
  <si>
    <t xml:space="preserve">Total Tax Amount</t>
  </si>
  <si>
    <t xml:space="preserve">Tax Amount (in words) :</t>
  </si>
  <si>
    <t xml:space="preserve">    GP  :-9514109080 _6382208004</t>
  </si>
  <si>
    <t xml:space="preserve">BANK DETAILS:</t>
  </si>
  <si>
    <t xml:space="preserve">NO OF BUNDLE'S :</t>
  </si>
  <si>
    <t xml:space="preserve">Bank Name</t>
  </si>
  <si>
    <t xml:space="preserve">K V B </t>
  </si>
  <si>
    <t xml:space="preserve">THROUGH :</t>
  </si>
  <si>
    <t xml:space="preserve">A/C. No</t>
  </si>
  <si>
    <t xml:space="preserve">.            1607135000011387</t>
  </si>
  <si>
    <t xml:space="preserve">Branch &amp; IFSC Code</t>
  </si>
  <si>
    <t xml:space="preserve">KVBL0001607</t>
  </si>
  <si>
    <t xml:space="preserve">Declaration</t>
  </si>
  <si>
    <t xml:space="preserve">for ADOODS GARMENTS</t>
  </si>
  <si>
    <t xml:space="preserve">We declare that the Invoice shows the actual price of the goods</t>
  </si>
  <si>
    <t xml:space="preserve">described and that all particulars are true and correct.</t>
  </si>
  <si>
    <t xml:space="preserve">Authorised Signatory</t>
  </si>
  <si>
    <t xml:space="preserve">SUBJECT TO HOSUR JURISDICTION. THIS IS COMPUTER GENERATED INVOICE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</si>
</sst>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.00%"/>
  </numFmts>
  <fonts count="1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 Black"/>
      <family val="0"/>
      <charset val="134"/>
    </font>
    <font>
      <sz val="20"/>
      <color rgb="FF000000"/>
      <name val="Arial Black"/>
      <family val="0"/>
      <charset val="134"/>
    </font>
    <font>
      <b val="true"/>
      <sz val="28"/>
      <color rgb="FF000000"/>
      <name val="Arial Black"/>
      <family val="0"/>
      <charset val="134"/>
    </font>
    <font>
      <sz val="14"/>
      <color rgb="FF000000"/>
      <name val="Arial Black"/>
      <family val="0"/>
      <charset val="134"/>
    </font>
    <font>
      <sz val="12"/>
      <color rgb="FF000000"/>
      <name val="Arial Black"/>
      <family val="0"/>
      <charset val="134"/>
    </font>
    <font>
      <sz val="13"/>
      <color rgb="FF000000"/>
      <name val="Arial Black"/>
      <family val="0"/>
      <charset val="134"/>
    </font>
    <font>
      <sz val="16"/>
      <color rgb="FF000000"/>
      <name val="Arial Black"/>
      <family val="0"/>
      <charset val="134"/>
    </font>
    <font>
      <sz val="18"/>
      <color rgb="FF000000"/>
      <name val="Arial Black"/>
      <family val="0"/>
      <charset val="134"/>
    </font>
    <font>
      <b val="true"/>
      <sz val="12"/>
      <color rgb="FF000000"/>
      <name val="Arial Black"/>
      <family val="0"/>
      <charset val="134"/>
    </font>
    <font>
      <sz val="14"/>
      <color rgb="FF000000"/>
      <name val="Arial Black"/>
      <family val="2"/>
      <charset val="1"/>
    </font>
    <font>
      <i val="true"/>
      <sz val="12"/>
      <color rgb="FF000000"/>
      <name val="Arial Black"/>
      <family val="0"/>
      <charset val="134"/>
    </font>
    <font>
      <b val="true"/>
      <sz val="16"/>
      <color rgb="FF000000"/>
      <name val="Arial Black"/>
      <family val="0"/>
      <charset val="134"/>
    </font>
    <font>
      <b val="true"/>
      <sz val="18"/>
      <color rgb="FF000000"/>
      <name val="Arial Black"/>
      <family val="0"/>
      <charset val="134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257040</xdr:colOff>
      <xdr:row>35</xdr:row>
      <xdr:rowOff>140400</xdr:rowOff>
    </xdr:from>
    <xdr:to>
      <xdr:col>5</xdr:col>
      <xdr:colOff>266040</xdr:colOff>
      <xdr:row>35</xdr:row>
      <xdr:rowOff>149400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9718560" y="9410760"/>
          <a:ext cx="9000" cy="90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37" colorId="64" zoomScale="70" zoomScaleNormal="70" zoomScalePageLayoutView="100" workbookViewId="0">
      <selection pane="topLeft" activeCell="A8" activeCellId="0" sqref="A8"/>
    </sheetView>
  </sheetViews>
  <sheetFormatPr defaultColWidth="13.71484375" defaultRowHeight="18.75" zeroHeight="false" outlineLevelRow="0" outlineLevelCol="0"/>
  <cols>
    <col collapsed="false" customWidth="true" hidden="false" outlineLevel="0" max="1" min="1" style="1" width="9.85"/>
    <col collapsed="false" customWidth="true" hidden="false" outlineLevel="0" max="2" min="2" style="1" width="52.85"/>
    <col collapsed="false" customWidth="true" hidden="false" outlineLevel="0" max="3" min="3" style="1" width="14.14"/>
    <col collapsed="false" customWidth="true" hidden="false" outlineLevel="0" max="4" min="4" style="1" width="13"/>
    <col collapsed="false" customWidth="true" hidden="false" outlineLevel="0" max="5" min="5" style="1" width="16.57"/>
    <col collapsed="false" customWidth="true" hidden="false" outlineLevel="0" max="6" min="6" style="1" width="12.43"/>
    <col collapsed="false" customWidth="true" hidden="false" outlineLevel="0" max="7" min="7" style="1" width="11.28"/>
    <col collapsed="false" customWidth="true" hidden="false" outlineLevel="0" max="8" min="8" style="1" width="24.57"/>
    <col collapsed="false" customWidth="false" hidden="false" outlineLevel="0" max="1024" min="9" style="1" width="13.71"/>
  </cols>
  <sheetData>
    <row r="1" customFormat="false" ht="31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4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2.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4" customFormat="false" ht="22.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22.5" hidden="false" customHeight="fals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19.5" hidden="false" customHeight="fals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19.5" hidden="false" customHeight="false" outlineLevel="0" collapsed="false">
      <c r="A7" s="5" t="s">
        <v>6</v>
      </c>
      <c r="B7" s="5"/>
      <c r="C7" s="5"/>
      <c r="D7" s="5"/>
      <c r="E7" s="5"/>
      <c r="F7" s="5"/>
      <c r="G7" s="5"/>
      <c r="H7" s="5"/>
    </row>
    <row r="8" customFormat="false" ht="24.75" hidden="false" customHeight="false" outlineLevel="0" collapsed="false">
      <c r="A8" s="6" t="s">
        <v>7</v>
      </c>
      <c r="B8" s="6"/>
      <c r="C8" s="6"/>
      <c r="D8" s="6"/>
      <c r="E8" s="6"/>
      <c r="F8" s="6"/>
      <c r="G8" s="6"/>
      <c r="H8" s="6"/>
      <c r="J8" s="1" t="s">
        <v>8</v>
      </c>
    </row>
    <row r="9" customFormat="false" ht="23.45" hidden="false" customHeight="fals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9.5" hidden="false" customHeight="false" outlineLevel="0" collapsed="false">
      <c r="A10" s="8" t="s">
        <v>10</v>
      </c>
      <c r="B10" s="8"/>
      <c r="C10" s="8"/>
      <c r="D10" s="8"/>
      <c r="E10" s="8" t="s">
        <v>11</v>
      </c>
      <c r="F10" s="8"/>
      <c r="G10" s="8"/>
      <c r="H10" s="8"/>
    </row>
    <row r="11" customFormat="false" ht="31.5" hidden="false" customHeight="true" outlineLevel="0" collapsed="false">
      <c r="A11" s="9" t="s">
        <v>12</v>
      </c>
      <c r="B11" s="9"/>
      <c r="C11" s="9"/>
      <c r="D11" s="9"/>
      <c r="E11" s="8" t="s">
        <v>8</v>
      </c>
      <c r="F11" s="8"/>
      <c r="G11" s="8"/>
      <c r="H11" s="8"/>
    </row>
    <row r="12" customFormat="false" ht="17.25" hidden="false" customHeight="true" outlineLevel="0" collapsed="false">
      <c r="A12" s="10" t="s">
        <v>13</v>
      </c>
      <c r="B12" s="10"/>
      <c r="C12" s="10"/>
      <c r="D12" s="10"/>
      <c r="E12" s="11" t="s">
        <v>14</v>
      </c>
      <c r="F12" s="12" t="n">
        <v>425</v>
      </c>
      <c r="G12" s="13" t="s">
        <v>15</v>
      </c>
      <c r="H12" s="14" t="s">
        <v>16</v>
      </c>
    </row>
    <row r="13" customFormat="false" ht="17.25" hidden="false" customHeight="true" outlineLevel="0" collapsed="false">
      <c r="A13" s="15"/>
      <c r="B13" s="15"/>
      <c r="C13" s="15"/>
      <c r="D13" s="15"/>
      <c r="E13" s="11" t="s">
        <v>17</v>
      </c>
      <c r="F13" s="16"/>
      <c r="G13" s="13" t="s">
        <v>15</v>
      </c>
      <c r="H13" s="14"/>
    </row>
    <row r="14" customFormat="false" ht="18.75" hidden="false" customHeight="false" outlineLevel="0" collapsed="false">
      <c r="A14" s="1" t="s">
        <v>18</v>
      </c>
      <c r="B14" s="1" t="s">
        <v>19</v>
      </c>
      <c r="E14" s="17"/>
      <c r="F14" s="18"/>
      <c r="G14" s="18"/>
      <c r="H14" s="19"/>
    </row>
    <row r="15" customFormat="false" ht="22.5" hidden="false" customHeight="true" outlineLevel="0" collapsed="false">
      <c r="A15" s="20" t="s">
        <v>20</v>
      </c>
      <c r="B15" s="20"/>
      <c r="C15" s="20"/>
      <c r="D15" s="20"/>
      <c r="E15" s="21"/>
      <c r="F15" s="21"/>
      <c r="G15" s="21"/>
      <c r="H15" s="21"/>
      <c r="I15" s="1" t="s">
        <v>8</v>
      </c>
    </row>
    <row r="16" s="24" customFormat="true" ht="19.5" hidden="false" customHeight="false" outlineLevel="0" collapsed="false">
      <c r="A16" s="22" t="s">
        <v>21</v>
      </c>
      <c r="B16" s="22" t="s">
        <v>22</v>
      </c>
      <c r="C16" s="22"/>
      <c r="D16" s="22" t="s">
        <v>23</v>
      </c>
      <c r="E16" s="22" t="s">
        <v>24</v>
      </c>
      <c r="F16" s="22" t="s">
        <v>25</v>
      </c>
      <c r="G16" s="22" t="s">
        <v>26</v>
      </c>
      <c r="H16" s="23" t="s">
        <v>27</v>
      </c>
    </row>
    <row r="17" customFormat="false" ht="18.75" hidden="false" customHeight="false" outlineLevel="0" collapsed="false">
      <c r="A17" s="25"/>
      <c r="B17" s="25"/>
      <c r="C17" s="25"/>
      <c r="D17" s="25"/>
      <c r="E17" s="25"/>
      <c r="F17" s="26"/>
      <c r="G17" s="25"/>
      <c r="H17" s="27"/>
    </row>
    <row r="18" s="33" customFormat="true" ht="22.5" hidden="false" customHeight="false" outlineLevel="0" collapsed="false">
      <c r="A18" s="28" t="n">
        <v>1</v>
      </c>
      <c r="B18" s="29" t="s">
        <v>28</v>
      </c>
      <c r="C18" s="29"/>
      <c r="D18" s="28"/>
      <c r="E18" s="30" t="n">
        <v>300</v>
      </c>
      <c r="F18" s="31" t="n">
        <v>260</v>
      </c>
      <c r="G18" s="28" t="s">
        <v>29</v>
      </c>
      <c r="H18" s="32" t="n">
        <f aca="false">F18*E18</f>
        <v>78000</v>
      </c>
    </row>
    <row r="19" s="33" customFormat="true" ht="22.5" hidden="false" customHeight="false" outlineLevel="0" collapsed="false">
      <c r="A19" s="28" t="n">
        <v>2</v>
      </c>
      <c r="B19" s="29"/>
      <c r="C19" s="29"/>
      <c r="D19" s="28"/>
      <c r="E19" s="30"/>
      <c r="F19" s="31"/>
      <c r="G19" s="28"/>
      <c r="H19" s="32" t="n">
        <f aca="false">F19*E19</f>
        <v>0</v>
      </c>
    </row>
    <row r="20" s="33" customFormat="true" ht="22.5" hidden="false" customHeight="false" outlineLevel="0" collapsed="false">
      <c r="A20" s="28" t="n">
        <v>3</v>
      </c>
      <c r="B20" s="29"/>
      <c r="C20" s="29"/>
      <c r="D20" s="28"/>
      <c r="E20" s="30"/>
      <c r="F20" s="31"/>
      <c r="G20" s="28"/>
      <c r="H20" s="32"/>
    </row>
    <row r="21" s="33" customFormat="true" ht="19.5" hidden="false" customHeight="false" outlineLevel="0" collapsed="false">
      <c r="A21" s="28" t="n">
        <v>4</v>
      </c>
      <c r="B21" s="28"/>
      <c r="C21" s="28"/>
      <c r="D21" s="28"/>
      <c r="E21" s="28"/>
      <c r="F21" s="31"/>
      <c r="G21" s="28"/>
      <c r="H21" s="32"/>
    </row>
    <row r="22" s="33" customFormat="true" ht="19.5" hidden="false" customHeight="false" outlineLevel="0" collapsed="false">
      <c r="A22" s="28" t="n">
        <v>5</v>
      </c>
      <c r="B22" s="28"/>
      <c r="C22" s="28"/>
      <c r="D22" s="28"/>
      <c r="E22" s="28"/>
      <c r="F22" s="31"/>
      <c r="G22" s="28"/>
      <c r="H22" s="32"/>
      <c r="I22" s="13"/>
    </row>
    <row r="23" s="33" customFormat="true" ht="19.5" hidden="false" customHeight="false" outlineLevel="0" collapsed="false">
      <c r="A23" s="28" t="n">
        <v>6</v>
      </c>
      <c r="B23" s="34"/>
      <c r="C23" s="34"/>
      <c r="D23" s="28"/>
      <c r="E23" s="28"/>
      <c r="F23" s="31"/>
      <c r="G23" s="28"/>
      <c r="H23" s="32"/>
      <c r="I23" s="13"/>
    </row>
    <row r="24" s="33" customFormat="true" ht="19.5" hidden="false" customHeight="false" outlineLevel="0" collapsed="false">
      <c r="A24" s="28" t="n">
        <v>7</v>
      </c>
      <c r="B24" s="34"/>
      <c r="D24" s="28"/>
      <c r="E24" s="28"/>
      <c r="F24" s="31"/>
      <c r="G24" s="28"/>
      <c r="H24" s="32"/>
    </row>
    <row r="25" s="33" customFormat="true" ht="19.5" hidden="false" customHeight="false" outlineLevel="0" collapsed="false">
      <c r="A25" s="28" t="n">
        <v>8</v>
      </c>
      <c r="D25" s="28"/>
      <c r="E25" s="28"/>
      <c r="F25" s="31"/>
      <c r="G25" s="28"/>
      <c r="H25" s="32"/>
    </row>
    <row r="26" s="33" customFormat="true" ht="19.5" hidden="false" customHeight="false" outlineLevel="0" collapsed="false">
      <c r="A26" s="28" t="n">
        <v>9</v>
      </c>
      <c r="B26" s="28" t="s">
        <v>30</v>
      </c>
      <c r="C26" s="28"/>
      <c r="D26" s="28"/>
      <c r="E26" s="28"/>
      <c r="F26" s="31"/>
      <c r="G26" s="28"/>
      <c r="H26" s="32"/>
    </row>
    <row r="27" customFormat="false" ht="18.75" hidden="false" customHeight="true" outlineLevel="0" collapsed="false">
      <c r="A27" s="28" t="n">
        <v>10</v>
      </c>
      <c r="B27" s="35"/>
      <c r="C27" s="35"/>
      <c r="D27" s="25"/>
      <c r="E27" s="25"/>
      <c r="F27" s="36"/>
      <c r="G27" s="25"/>
      <c r="H27" s="32"/>
    </row>
    <row r="28" customFormat="false" ht="24.75" hidden="false" customHeight="false" outlineLevel="0" collapsed="false">
      <c r="A28" s="25"/>
      <c r="B28" s="25"/>
      <c r="C28" s="25"/>
      <c r="D28" s="25"/>
      <c r="E28" s="25"/>
      <c r="F28" s="36"/>
      <c r="G28" s="25"/>
      <c r="H28" s="37" t="n">
        <f aca="false">SUM(H18:H27)</f>
        <v>78000</v>
      </c>
    </row>
    <row r="29" customFormat="false" ht="19.5" hidden="false" customHeight="false" outlineLevel="0" collapsed="false">
      <c r="A29" s="38"/>
      <c r="B29" s="39" t="s">
        <v>31</v>
      </c>
      <c r="C29" s="39"/>
      <c r="D29" s="38"/>
      <c r="E29" s="38"/>
      <c r="F29" s="40"/>
      <c r="G29" s="38"/>
      <c r="H29" s="41" t="n">
        <f aca="false">H28*2.5/100</f>
        <v>1950</v>
      </c>
    </row>
    <row r="30" customFormat="false" ht="18.75" hidden="false" customHeight="true" outlineLevel="0" collapsed="false">
      <c r="A30" s="38"/>
      <c r="B30" s="39" t="s">
        <v>32</v>
      </c>
      <c r="C30" s="39"/>
      <c r="D30" s="38"/>
      <c r="E30" s="38"/>
      <c r="F30" s="40"/>
      <c r="G30" s="38"/>
      <c r="H30" s="41" t="n">
        <f aca="false">H28*2.5/100</f>
        <v>1950</v>
      </c>
    </row>
    <row r="31" customFormat="false" ht="19.5" hidden="true" customHeight="false" outlineLevel="0" collapsed="false">
      <c r="A31" s="38"/>
      <c r="B31" s="39"/>
      <c r="C31" s="39"/>
      <c r="D31" s="38"/>
      <c r="E31" s="38"/>
      <c r="F31" s="40"/>
      <c r="G31" s="38"/>
      <c r="H31" s="41"/>
      <c r="I31" s="18"/>
    </row>
    <row r="32" customFormat="false" ht="38.25" hidden="false" customHeight="true" outlineLevel="0" collapsed="false">
      <c r="A32" s="25"/>
      <c r="B32" s="42" t="s">
        <v>33</v>
      </c>
      <c r="C32" s="42"/>
      <c r="D32" s="25"/>
      <c r="E32" s="25"/>
      <c r="F32" s="36"/>
      <c r="G32" s="25"/>
      <c r="H32" s="43" t="n">
        <f aca="false">SUM(H28:H31)</f>
        <v>81900</v>
      </c>
    </row>
    <row r="33" customFormat="false" ht="19.5" hidden="false" customHeight="false" outlineLevel="0" collapsed="false">
      <c r="A33" s="44"/>
      <c r="B33" s="45"/>
      <c r="C33" s="45"/>
      <c r="D33" s="46" t="s">
        <v>34</v>
      </c>
      <c r="E33" s="46"/>
      <c r="F33" s="46"/>
      <c r="G33" s="46"/>
      <c r="H33" s="46"/>
    </row>
    <row r="34" customFormat="false" ht="19.5" hidden="false" customHeight="false" outlineLevel="0" collapsed="false">
      <c r="A34" s="47" t="s">
        <v>35</v>
      </c>
      <c r="B34" s="13"/>
      <c r="C34" s="13"/>
      <c r="D34" s="13"/>
      <c r="E34" s="13"/>
      <c r="F34" s="13"/>
      <c r="G34" s="13"/>
      <c r="H34" s="14"/>
    </row>
    <row r="35" customFormat="false" ht="0.75" hidden="false" customHeight="true" outlineLevel="0" collapsed="false">
      <c r="A35" s="11"/>
      <c r="B35" s="13"/>
      <c r="C35" s="13"/>
      <c r="D35" s="13"/>
      <c r="E35" s="13"/>
      <c r="F35" s="13"/>
      <c r="G35" s="13"/>
      <c r="H35" s="14"/>
    </row>
    <row r="36" customFormat="false" ht="19.5" hidden="false" customHeight="true" outlineLevel="0" collapsed="false">
      <c r="A36" s="48" t="s">
        <v>23</v>
      </c>
      <c r="B36" s="49"/>
      <c r="C36" s="49" t="s">
        <v>36</v>
      </c>
      <c r="D36" s="49" t="s">
        <v>37</v>
      </c>
      <c r="E36" s="49"/>
      <c r="F36" s="49" t="s">
        <v>38</v>
      </c>
      <c r="G36" s="49"/>
      <c r="H36" s="50" t="s">
        <v>39</v>
      </c>
    </row>
    <row r="37" customFormat="false" ht="19.5" hidden="false" customHeight="true" outlineLevel="0" collapsed="false">
      <c r="A37" s="51"/>
      <c r="B37" s="52"/>
      <c r="C37" s="49"/>
      <c r="D37" s="52" t="s">
        <v>25</v>
      </c>
      <c r="E37" s="52" t="s">
        <v>27</v>
      </c>
      <c r="F37" s="52" t="s">
        <v>25</v>
      </c>
      <c r="G37" s="52" t="s">
        <v>27</v>
      </c>
      <c r="H37" s="50"/>
    </row>
    <row r="38" customFormat="false" ht="19.5" hidden="false" customHeight="false" outlineLevel="0" collapsed="false">
      <c r="A38" s="53" t="n">
        <v>6006</v>
      </c>
      <c r="B38" s="54"/>
      <c r="C38" s="55" t="n">
        <f aca="false">H28</f>
        <v>78000</v>
      </c>
      <c r="D38" s="56" t="n">
        <v>0.025</v>
      </c>
      <c r="E38" s="54" t="n">
        <f aca="false">+C38*D38</f>
        <v>1950</v>
      </c>
      <c r="F38" s="56" t="n">
        <v>0.025</v>
      </c>
      <c r="G38" s="54" t="n">
        <f aca="false">+C38*F38</f>
        <v>1950</v>
      </c>
      <c r="H38" s="57" t="n">
        <f aca="false">+G38+E38</f>
        <v>3900</v>
      </c>
    </row>
    <row r="39" customFormat="false" ht="19.5" hidden="false" customHeight="false" outlineLevel="0" collapsed="false">
      <c r="A39" s="58" t="s">
        <v>33</v>
      </c>
      <c r="B39" s="59"/>
      <c r="C39" s="60" t="n">
        <f aca="false">SUM(C38)</f>
        <v>78000</v>
      </c>
      <c r="D39" s="60"/>
      <c r="E39" s="60" t="n">
        <f aca="false">SUM(E38)</f>
        <v>1950</v>
      </c>
      <c r="F39" s="60"/>
      <c r="G39" s="60" t="n">
        <f aca="false">SUM(G38)</f>
        <v>1950</v>
      </c>
      <c r="H39" s="61" t="n">
        <f aca="false">SUM(H38)</f>
        <v>3900</v>
      </c>
    </row>
    <row r="40" customFormat="false" ht="19.5" hidden="false" customHeight="false" outlineLevel="0" collapsed="false">
      <c r="A40" s="47"/>
      <c r="B40" s="45"/>
      <c r="C40" s="45"/>
      <c r="D40" s="45"/>
      <c r="E40" s="45"/>
      <c r="F40" s="45"/>
      <c r="G40" s="45"/>
      <c r="H40" s="62"/>
    </row>
    <row r="41" customFormat="false" ht="19.5" hidden="false" customHeight="false" outlineLevel="0" collapsed="false">
      <c r="A41" s="11" t="s">
        <v>40</v>
      </c>
      <c r="B41" s="13"/>
      <c r="C41" s="13"/>
      <c r="D41" s="13"/>
      <c r="E41" s="13"/>
      <c r="F41" s="13"/>
      <c r="G41" s="13"/>
      <c r="H41" s="14"/>
    </row>
    <row r="42" customFormat="false" ht="19.5" hidden="false" customHeight="false" outlineLevel="0" collapsed="false">
      <c r="A42" s="63"/>
      <c r="B42" s="64"/>
      <c r="C42" s="64"/>
      <c r="D42" s="64"/>
      <c r="E42" s="64"/>
      <c r="F42" s="64" t="s">
        <v>41</v>
      </c>
      <c r="G42" s="64"/>
      <c r="H42" s="65"/>
    </row>
    <row r="43" customFormat="false" ht="19.5" hidden="false" customHeight="false" outlineLevel="0" collapsed="false">
      <c r="A43" s="47"/>
      <c r="B43" s="45"/>
      <c r="C43" s="62"/>
      <c r="D43" s="66" t="s">
        <v>42</v>
      </c>
      <c r="E43" s="66"/>
      <c r="F43" s="66"/>
      <c r="G43" s="66"/>
      <c r="H43" s="66"/>
    </row>
    <row r="44" customFormat="false" ht="19.5" hidden="false" customHeight="false" outlineLevel="0" collapsed="false">
      <c r="A44" s="11" t="s">
        <v>43</v>
      </c>
      <c r="B44" s="13"/>
      <c r="C44" s="14"/>
      <c r="D44" s="11" t="s">
        <v>44</v>
      </c>
      <c r="E44" s="11"/>
      <c r="F44" s="67" t="s">
        <v>45</v>
      </c>
      <c r="G44" s="67"/>
      <c r="H44" s="67"/>
    </row>
    <row r="45" s="68" customFormat="true" ht="19.5" hidden="false" customHeight="false" outlineLevel="0" collapsed="false">
      <c r="A45" s="11" t="s">
        <v>46</v>
      </c>
      <c r="B45" s="13"/>
      <c r="C45" s="14"/>
      <c r="D45" s="11" t="s">
        <v>47</v>
      </c>
      <c r="E45" s="11"/>
      <c r="F45" s="14" t="s">
        <v>48</v>
      </c>
      <c r="G45" s="14"/>
      <c r="H45" s="14"/>
    </row>
    <row r="46" s="68" customFormat="true" ht="19.5" hidden="false" customHeight="false" outlineLevel="0" collapsed="false">
      <c r="A46" s="63"/>
      <c r="B46" s="64"/>
      <c r="C46" s="65"/>
      <c r="D46" s="63" t="s">
        <v>49</v>
      </c>
      <c r="E46" s="63"/>
      <c r="F46" s="69" t="s">
        <v>50</v>
      </c>
      <c r="G46" s="69"/>
      <c r="H46" s="69"/>
    </row>
    <row r="47" customFormat="false" ht="21" hidden="false" customHeight="true" outlineLevel="0" collapsed="false">
      <c r="A47" s="47" t="s">
        <v>51</v>
      </c>
      <c r="B47" s="45"/>
      <c r="C47" s="45"/>
      <c r="D47" s="45"/>
      <c r="E47" s="45"/>
      <c r="F47" s="46" t="s">
        <v>52</v>
      </c>
      <c r="G47" s="46"/>
      <c r="H47" s="46"/>
    </row>
    <row r="48" customFormat="false" ht="19.5" hidden="false" customHeight="false" outlineLevel="0" collapsed="false">
      <c r="A48" s="11" t="s">
        <v>53</v>
      </c>
      <c r="B48" s="13"/>
      <c r="C48" s="13"/>
      <c r="D48" s="13"/>
      <c r="E48" s="13"/>
      <c r="F48" s="14" t="s">
        <v>8</v>
      </c>
      <c r="G48" s="14"/>
      <c r="H48" s="14"/>
    </row>
    <row r="49" customFormat="false" ht="19.5" hidden="false" customHeight="false" outlineLevel="0" collapsed="false">
      <c r="A49" s="11" t="s">
        <v>54</v>
      </c>
      <c r="B49" s="13"/>
      <c r="C49" s="13"/>
      <c r="D49" s="13"/>
      <c r="E49" s="13"/>
      <c r="F49" s="14"/>
      <c r="G49" s="14"/>
      <c r="H49" s="14"/>
    </row>
    <row r="50" customFormat="false" ht="113.25" hidden="false" customHeight="true" outlineLevel="0" collapsed="false">
      <c r="A50" s="63"/>
      <c r="B50" s="64"/>
      <c r="C50" s="64"/>
      <c r="D50" s="64"/>
      <c r="E50" s="64"/>
      <c r="F50" s="70" t="s">
        <v>55</v>
      </c>
      <c r="G50" s="70"/>
      <c r="H50" s="70"/>
    </row>
    <row r="51" customFormat="false" ht="19.5" hidden="true" customHeight="false" outlineLevel="0" collapsed="false">
      <c r="A51" s="71" t="s">
        <v>56</v>
      </c>
      <c r="B51" s="71"/>
      <c r="C51" s="71"/>
      <c r="D51" s="71"/>
      <c r="E51" s="71"/>
      <c r="F51" s="71"/>
      <c r="G51" s="71"/>
      <c r="H51" s="71"/>
    </row>
    <row r="52" customFormat="false" ht="0.75" hidden="false" customHeight="true" outlineLevel="0" collapsed="false"/>
  </sheetData>
  <mergeCells count="4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D10"/>
    <mergeCell ref="E10:H10"/>
    <mergeCell ref="A11:D11"/>
    <mergeCell ref="E11:H11"/>
    <mergeCell ref="A12:D12"/>
    <mergeCell ref="A13:D13"/>
    <mergeCell ref="A15:D15"/>
    <mergeCell ref="E15:H15"/>
    <mergeCell ref="B16:C16"/>
    <mergeCell ref="B17:C17"/>
    <mergeCell ref="B18:C18"/>
    <mergeCell ref="B19:C19"/>
    <mergeCell ref="B20:C20"/>
    <mergeCell ref="B21:C21"/>
    <mergeCell ref="B22:C22"/>
    <mergeCell ref="B26:C26"/>
    <mergeCell ref="B27:C27"/>
    <mergeCell ref="B28:C28"/>
    <mergeCell ref="B29:C29"/>
    <mergeCell ref="B30:C30"/>
    <mergeCell ref="B31:C31"/>
    <mergeCell ref="B32:C32"/>
    <mergeCell ref="D33:H33"/>
    <mergeCell ref="C36:C37"/>
    <mergeCell ref="D36:E36"/>
    <mergeCell ref="F36:G36"/>
    <mergeCell ref="H36:H37"/>
    <mergeCell ref="D43:H43"/>
    <mergeCell ref="D44:E44"/>
    <mergeCell ref="F44:H44"/>
    <mergeCell ref="D45:E45"/>
    <mergeCell ref="F45:H45"/>
    <mergeCell ref="D46:E46"/>
    <mergeCell ref="F46:H46"/>
    <mergeCell ref="F47:H47"/>
    <mergeCell ref="F48:H49"/>
    <mergeCell ref="F50:H50"/>
  </mergeCells>
  <printOptions headings="false" gridLines="false" gridLinesSet="true" horizontalCentered="false" verticalCentered="false"/>
  <pageMargins left="0.708333333333333" right="0.433333333333333" top="0.511805555555556" bottom="0.236111111111111" header="0.511811023622047" footer="0.511811023622047"/>
  <pageSetup paperSize="1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2021-06-29T12:50:00Z</dcterms:created>
  <dc:creator>user</dc:creator>
  <dc:description/>
  <dc:language>en-US</dc:language>
  <cp:lastModifiedBy/>
  <cp:lastPrinted>2026-04-27T13:55:44Z</cp:lastPrinted>
  <dcterms:modified xsi:type="dcterms:W3CDTF">2026-10-04T03:58:11Z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3809387EEF0B48F6AE836F63D3B889E3_12</vt:lpwstr>
  </property>
  <property fmtid="{D5CDD505-2E9C-101B-9397-08002B2CF9AE}" pid="3" name="KSOProductBuildVer">
    <vt:lpwstr>2057-12.2.0.23155</vt:lpwstr>
  </property>
</Properties>
</file>