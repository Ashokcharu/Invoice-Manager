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2615" windowHeight="8160" tabRatio="431"/>
  </bookViews>
  <sheets>
    <sheet name="Sheet1" sheetId="3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"/>
  <c r="H28" s="1"/>
  <c r="C37" l="1"/>
  <c r="H29"/>
  <c r="H31" s="1"/>
  <c r="C38" l="1"/>
  <c r="E37"/>
  <c r="H37" l="1"/>
  <c r="H38" s="1"/>
  <c r="E38"/>
</calcChain>
</file>

<file path=xl/sharedStrings.xml><?xml version="1.0" encoding="utf-8"?>
<sst xmlns="http://schemas.openxmlformats.org/spreadsheetml/2006/main" count="59" uniqueCount="53">
  <si>
    <t>TAX INVOICE</t>
  </si>
  <si>
    <t>ALL KINDS OF T-SHIRT MANUFACTURE</t>
  </si>
  <si>
    <t xml:space="preserve">88-1/50M, 1st FLOOR NEAR SRINIVASA THEATRE, </t>
  </si>
  <si>
    <t>ULAVARSANDHAI ROAD, HOSUR - 635 109</t>
  </si>
  <si>
    <t>GSTIN :33DJRPP6135G1ZW</t>
  </si>
  <si>
    <t>STATE: TAMIL NADU   CODE: 33</t>
  </si>
  <si>
    <t xml:space="preserve"> </t>
  </si>
  <si>
    <t>BUYER DETAILS</t>
  </si>
  <si>
    <t>INVOICE DETAILS</t>
  </si>
  <si>
    <t>INVOICE NO</t>
  </si>
  <si>
    <t>DATE</t>
  </si>
  <si>
    <t>P.O NO</t>
  </si>
  <si>
    <t>SL.NO</t>
  </si>
  <si>
    <t>Description of Goods</t>
  </si>
  <si>
    <t>HSN/SAC</t>
  </si>
  <si>
    <t>Quantity</t>
  </si>
  <si>
    <t>Rate</t>
  </si>
  <si>
    <t>Per</t>
  </si>
  <si>
    <t>Amount</t>
  </si>
  <si>
    <t>NOS</t>
  </si>
  <si>
    <t>TOTAL</t>
  </si>
  <si>
    <t>E. &amp; O.E</t>
  </si>
  <si>
    <t>Amount Chargeable (in words)</t>
  </si>
  <si>
    <t>Taxable value</t>
  </si>
  <si>
    <t>State Tax</t>
  </si>
  <si>
    <t>Total Tax Amount</t>
  </si>
  <si>
    <t>Tax Amount (in words) :</t>
  </si>
  <si>
    <t>NO OF BUNDLE'S :</t>
  </si>
  <si>
    <t>Bank Name</t>
  </si>
  <si>
    <t xml:space="preserve">K V B </t>
  </si>
  <si>
    <t>THROUGH :</t>
  </si>
  <si>
    <t>A/C. No</t>
  </si>
  <si>
    <t>Branch &amp; IFSC Code</t>
  </si>
  <si>
    <t>KVBL0001607</t>
  </si>
  <si>
    <t>Declaration</t>
  </si>
  <si>
    <t>for ADOODS GARMENTS</t>
  </si>
  <si>
    <t>We declare that the Invoice shows the actual price of the goods</t>
  </si>
  <si>
    <t>described and that all particulars are true and correct.</t>
  </si>
  <si>
    <t>Authorised Signatory</t>
  </si>
  <si>
    <t xml:space="preserve"> ADOODS GARMENTS </t>
  </si>
  <si>
    <t xml:space="preserve">                                                           Website : adoodshosur@gmail.com                   PHONE:-   9514109080 </t>
  </si>
  <si>
    <t xml:space="preserve">                                                                     E.Mail : sales@adoods.com                                     6382208004</t>
  </si>
  <si>
    <t>Sri Sairam college of Engineering</t>
  </si>
  <si>
    <t>21 11 2025</t>
  </si>
  <si>
    <t>Gst no: 
E. &amp; O.E
ADVANSH 
D
E. &amp; O.E
ADVANSH 
D</t>
  </si>
  <si>
    <t>T SHIRT</t>
  </si>
  <si>
    <r>
      <rPr>
        <sz val="14"/>
        <color theme="1"/>
        <rFont val="Arial Black"/>
        <charset val="134"/>
      </rPr>
      <t>ADVANSH</t>
    </r>
    <r>
      <rPr>
        <i/>
        <sz val="14"/>
        <color theme="1"/>
        <rFont val="Arial Black"/>
        <charset val="134"/>
      </rPr>
      <t xml:space="preserve"> </t>
    </r>
  </si>
  <si>
    <t xml:space="preserve">ADVANSH  1000
</t>
  </si>
  <si>
    <t>IGST</t>
  </si>
  <si>
    <t>Itigrated Tax</t>
  </si>
  <si>
    <t>GP  :-9514109080 _6382208004</t>
  </si>
  <si>
    <t xml:space="preserve">BANK DETAILS:                </t>
  </si>
  <si>
    <t>.        1607135000011387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</si>
</sst>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1"/>
      <name val="Arial Black"/>
      <charset val="134"/>
    </font>
    <font>
      <b/>
      <sz val="48"/>
      <color theme="1"/>
      <name val="Arial Black"/>
      <charset val="134"/>
    </font>
    <font>
      <b/>
      <sz val="14"/>
      <color theme="1"/>
      <name val="Arial Black"/>
      <charset val="134"/>
    </font>
    <font>
      <sz val="12"/>
      <color theme="1"/>
      <name val="Arial Black"/>
      <charset val="134"/>
    </font>
    <font>
      <sz val="20"/>
      <color theme="1"/>
      <name val="Arial Black"/>
      <charset val="134"/>
    </font>
    <font>
      <sz val="16"/>
      <color theme="1"/>
      <name val="Arial Black"/>
      <charset val="134"/>
    </font>
    <font>
      <i/>
      <sz val="14"/>
      <color theme="1"/>
      <name val="Arial Black"/>
      <charset val="13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4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/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0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3" xfId="0" applyFont="1" applyBorder="1"/>
    <xf numFmtId="0" fontId="4" fillId="0" borderId="0" xfId="0" applyFont="1" applyBorder="1"/>
    <xf numFmtId="0" fontId="2" fillId="0" borderId="4" xfId="0" applyFont="1" applyBorder="1"/>
    <xf numFmtId="0" fontId="2" fillId="0" borderId="7" xfId="0" applyFont="1" applyFill="1" applyBorder="1"/>
    <xf numFmtId="0" fontId="2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topLeftCell="A10" zoomScale="70" zoomScaleNormal="70" workbookViewId="0">
      <selection activeCell="F19" sqref="F19"/>
    </sheetView>
  </sheetViews>
  <sheetFormatPr defaultColWidth="9.140625" defaultRowHeight="18.75"/>
  <cols>
    <col min="1" max="1" width="8.5703125" style="1" customWidth="1"/>
    <col min="2" max="2" width="9.140625" style="1"/>
    <col min="3" max="3" width="69" style="1" customWidth="1"/>
    <col min="4" max="4" width="17.7109375" style="1" customWidth="1"/>
    <col min="5" max="5" width="14.5703125" style="1" customWidth="1"/>
    <col min="6" max="6" width="14.42578125" style="1" customWidth="1"/>
    <col min="7" max="7" width="16.140625" style="1" customWidth="1"/>
    <col min="8" max="8" width="24.28515625" style="1" customWidth="1"/>
    <col min="9" max="16384" width="9.140625" style="1"/>
  </cols>
  <sheetData>
    <row r="1" spans="1:8" ht="22.5">
      <c r="A1" s="46" t="s">
        <v>0</v>
      </c>
      <c r="B1" s="47"/>
      <c r="C1" s="47"/>
      <c r="D1" s="47"/>
      <c r="E1" s="47"/>
      <c r="F1" s="47"/>
      <c r="G1" s="47"/>
      <c r="H1" s="48"/>
    </row>
    <row r="2" spans="1:8" ht="108.75" customHeight="1">
      <c r="A2" s="49" t="s">
        <v>39</v>
      </c>
      <c r="B2" s="50"/>
      <c r="C2" s="50"/>
      <c r="D2" s="50"/>
      <c r="E2" s="50"/>
      <c r="F2" s="50"/>
      <c r="G2" s="50"/>
      <c r="H2" s="51"/>
    </row>
    <row r="3" spans="1:8" ht="35.25" customHeight="1">
      <c r="A3" s="52" t="s">
        <v>1</v>
      </c>
      <c r="B3" s="53"/>
      <c r="C3" s="53"/>
      <c r="D3" s="53"/>
      <c r="E3" s="53"/>
      <c r="F3" s="53"/>
      <c r="G3" s="53"/>
      <c r="H3" s="54"/>
    </row>
    <row r="4" spans="1:8" ht="33" customHeight="1">
      <c r="A4" s="52" t="s">
        <v>2</v>
      </c>
      <c r="B4" s="53"/>
      <c r="C4" s="53"/>
      <c r="D4" s="53"/>
      <c r="E4" s="53"/>
      <c r="F4" s="53"/>
      <c r="G4" s="53"/>
      <c r="H4" s="54"/>
    </row>
    <row r="5" spans="1:8" ht="31.5" customHeight="1">
      <c r="A5" s="52" t="s">
        <v>3</v>
      </c>
      <c r="B5" s="53"/>
      <c r="C5" s="53"/>
      <c r="D5" s="53"/>
      <c r="E5" s="53"/>
      <c r="F5" s="53"/>
      <c r="G5" s="53"/>
      <c r="H5" s="54"/>
    </row>
    <row r="6" spans="1:8" ht="27" customHeight="1">
      <c r="A6" s="52" t="s">
        <v>4</v>
      </c>
      <c r="B6" s="53"/>
      <c r="C6" s="53"/>
      <c r="D6" s="53"/>
      <c r="E6" s="53"/>
      <c r="F6" s="53"/>
      <c r="G6" s="53"/>
      <c r="H6" s="54"/>
    </row>
    <row r="7" spans="1:8" ht="30" customHeight="1">
      <c r="A7" s="52" t="s">
        <v>5</v>
      </c>
      <c r="B7" s="53"/>
      <c r="C7" s="53"/>
      <c r="D7" s="53"/>
      <c r="E7" s="53"/>
      <c r="F7" s="53"/>
      <c r="G7" s="53"/>
      <c r="H7" s="54"/>
    </row>
    <row r="8" spans="1:8" ht="32.25" customHeight="1">
      <c r="A8" s="52" t="s">
        <v>40</v>
      </c>
      <c r="B8" s="53"/>
      <c r="C8" s="53"/>
      <c r="D8" s="53"/>
      <c r="E8" s="53"/>
      <c r="F8" s="53"/>
      <c r="G8" s="53"/>
      <c r="H8" s="54"/>
    </row>
    <row r="9" spans="1:8" ht="23.25" customHeight="1">
      <c r="A9" s="55" t="s">
        <v>41</v>
      </c>
      <c r="B9" s="56"/>
      <c r="C9" s="56"/>
      <c r="D9" s="56"/>
      <c r="E9" s="56"/>
      <c r="F9" s="56"/>
      <c r="G9" s="56"/>
      <c r="H9" s="57"/>
    </row>
    <row r="10" spans="1:8" ht="71.25" customHeight="1">
      <c r="A10" s="58" t="s">
        <v>7</v>
      </c>
      <c r="B10" s="59"/>
      <c r="C10" s="59"/>
      <c r="D10" s="60"/>
      <c r="E10" s="58" t="s">
        <v>8</v>
      </c>
      <c r="F10" s="59"/>
      <c r="G10" s="59"/>
      <c r="H10" s="60"/>
    </row>
    <row r="11" spans="1:8" ht="22.5">
      <c r="A11" s="61" t="s">
        <v>42</v>
      </c>
      <c r="B11" s="59"/>
      <c r="C11" s="59"/>
      <c r="D11" s="60"/>
      <c r="E11" s="58" t="s">
        <v>6</v>
      </c>
      <c r="F11" s="59"/>
      <c r="G11" s="59"/>
      <c r="H11" s="60"/>
    </row>
    <row r="12" spans="1:8" ht="22.5">
      <c r="A12" s="62"/>
      <c r="B12" s="63"/>
      <c r="C12" s="63"/>
      <c r="D12" s="64"/>
      <c r="E12" s="3" t="s">
        <v>9</v>
      </c>
      <c r="F12" s="6">
        <v>327</v>
      </c>
      <c r="G12" s="4" t="s">
        <v>10</v>
      </c>
      <c r="H12" s="5" t="s">
        <v>43</v>
      </c>
    </row>
    <row r="13" spans="1:8" ht="22.5">
      <c r="A13" s="61"/>
      <c r="B13" s="59"/>
      <c r="C13" s="59"/>
      <c r="D13" s="60"/>
      <c r="E13" s="3" t="s">
        <v>11</v>
      </c>
      <c r="F13" s="7"/>
      <c r="G13" s="4" t="s">
        <v>10</v>
      </c>
      <c r="H13" s="5"/>
    </row>
    <row r="14" spans="1:8" ht="52.5" customHeight="1">
      <c r="A14" s="3"/>
      <c r="B14" s="4"/>
      <c r="C14" s="4"/>
      <c r="D14" s="4"/>
      <c r="E14" s="3"/>
      <c r="F14" s="4"/>
      <c r="G14" s="4"/>
      <c r="H14" s="5"/>
    </row>
    <row r="15" spans="1:8" ht="22.5">
      <c r="A15" s="61" t="s">
        <v>44</v>
      </c>
      <c r="B15" s="59"/>
      <c r="C15" s="59"/>
      <c r="D15" s="60"/>
      <c r="E15" s="65"/>
      <c r="F15" s="66"/>
      <c r="G15" s="66"/>
      <c r="H15" s="67"/>
    </row>
    <row r="16" spans="1:8" ht="22.5">
      <c r="A16" s="11" t="s">
        <v>12</v>
      </c>
      <c r="B16" s="46" t="s">
        <v>13</v>
      </c>
      <c r="C16" s="48"/>
      <c r="D16" s="11" t="s">
        <v>14</v>
      </c>
      <c r="E16" s="11" t="s">
        <v>15</v>
      </c>
      <c r="F16" s="11" t="s">
        <v>16</v>
      </c>
      <c r="G16" s="11" t="s">
        <v>17</v>
      </c>
      <c r="H16" s="2" t="s">
        <v>18</v>
      </c>
    </row>
    <row r="17" spans="1:8" ht="22.5">
      <c r="A17" s="12"/>
      <c r="B17" s="68"/>
      <c r="C17" s="69"/>
      <c r="D17" s="12"/>
      <c r="E17" s="12"/>
      <c r="F17" s="12"/>
      <c r="G17" s="12"/>
      <c r="H17" s="13"/>
    </row>
    <row r="18" spans="1:8" ht="22.5">
      <c r="A18" s="12">
        <v>1</v>
      </c>
      <c r="B18" s="68" t="s">
        <v>45</v>
      </c>
      <c r="C18" s="69"/>
      <c r="D18" s="12"/>
      <c r="E18" s="14">
        <v>1500</v>
      </c>
      <c r="F18" s="14">
        <v>320</v>
      </c>
      <c r="G18" s="12" t="s">
        <v>19</v>
      </c>
      <c r="H18" s="15">
        <f>F18*E18</f>
        <v>480000</v>
      </c>
    </row>
    <row r="19" spans="1:8" ht="22.5">
      <c r="A19" s="12">
        <v>2</v>
      </c>
      <c r="B19" s="68"/>
      <c r="C19" s="69"/>
      <c r="D19" s="12"/>
      <c r="E19" s="14"/>
      <c r="F19" s="14"/>
      <c r="G19" s="12"/>
      <c r="H19" s="15"/>
    </row>
    <row r="20" spans="1:8" ht="22.5">
      <c r="A20" s="12">
        <v>3</v>
      </c>
      <c r="B20" s="68"/>
      <c r="C20" s="69"/>
      <c r="D20" s="12"/>
      <c r="E20" s="14"/>
      <c r="F20" s="14"/>
      <c r="G20" s="12"/>
      <c r="H20" s="15"/>
    </row>
    <row r="21" spans="1:8" ht="22.5">
      <c r="A21" s="12">
        <v>4</v>
      </c>
      <c r="B21" s="68"/>
      <c r="C21" s="69"/>
      <c r="D21" s="12"/>
      <c r="E21" s="12"/>
      <c r="F21" s="14"/>
      <c r="G21" s="12"/>
      <c r="H21" s="15"/>
    </row>
    <row r="22" spans="1:8" ht="22.5">
      <c r="A22" s="12">
        <v>5</v>
      </c>
      <c r="B22" s="68"/>
      <c r="C22" s="69"/>
      <c r="D22" s="12"/>
      <c r="E22" s="12"/>
      <c r="F22" s="14"/>
      <c r="G22" s="12"/>
      <c r="H22" s="15"/>
    </row>
    <row r="23" spans="1:8" ht="22.5">
      <c r="A23" s="12">
        <v>6</v>
      </c>
      <c r="B23" s="6"/>
      <c r="C23" s="6"/>
      <c r="D23" s="12"/>
      <c r="E23" s="12"/>
      <c r="F23" s="14"/>
      <c r="G23" s="12"/>
      <c r="H23" s="15"/>
    </row>
    <row r="24" spans="1:8" ht="22.5">
      <c r="A24" s="12">
        <v>7</v>
      </c>
      <c r="B24" s="6"/>
      <c r="C24" s="4"/>
      <c r="D24" s="12"/>
      <c r="E24" s="12"/>
      <c r="F24" s="14"/>
      <c r="G24" s="12"/>
      <c r="H24" s="15"/>
    </row>
    <row r="25" spans="1:8" ht="22.5">
      <c r="A25" s="12">
        <v>8</v>
      </c>
      <c r="B25" s="4"/>
      <c r="C25" s="4"/>
      <c r="D25" s="12"/>
      <c r="E25" s="12"/>
      <c r="F25" s="14"/>
      <c r="G25" s="12"/>
      <c r="H25" s="15"/>
    </row>
    <row r="26" spans="1:8" ht="22.5">
      <c r="A26" s="12">
        <v>9</v>
      </c>
      <c r="B26" s="68" t="s">
        <v>46</v>
      </c>
      <c r="C26" s="69"/>
      <c r="D26" s="12"/>
      <c r="E26" s="12"/>
      <c r="F26" s="14"/>
      <c r="G26" s="12"/>
      <c r="H26" s="15"/>
    </row>
    <row r="27" spans="1:8" ht="22.5">
      <c r="A27" s="12">
        <v>10</v>
      </c>
      <c r="B27" s="70" t="s">
        <v>47</v>
      </c>
      <c r="C27" s="69"/>
      <c r="D27" s="12"/>
      <c r="E27" s="12"/>
      <c r="F27" s="14"/>
      <c r="G27" s="12"/>
      <c r="H27" s="15"/>
    </row>
    <row r="28" spans="1:8" ht="22.5">
      <c r="A28" s="12"/>
      <c r="B28" s="68"/>
      <c r="C28" s="69"/>
      <c r="D28" s="12"/>
      <c r="E28" s="12"/>
      <c r="F28" s="14"/>
      <c r="G28" s="12"/>
      <c r="H28" s="16">
        <f>SUM(H18:H27)</f>
        <v>480000</v>
      </c>
    </row>
    <row r="29" spans="1:8" ht="22.5">
      <c r="A29" s="17"/>
      <c r="B29" s="71" t="s">
        <v>48</v>
      </c>
      <c r="C29" s="71"/>
      <c r="D29" s="18"/>
      <c r="E29" s="18"/>
      <c r="F29" s="19"/>
      <c r="G29" s="18"/>
      <c r="H29" s="20">
        <f>H28*5/100</f>
        <v>24000</v>
      </c>
    </row>
    <row r="30" spans="1:8" ht="22.5">
      <c r="A30" s="17"/>
      <c r="B30" s="71"/>
      <c r="C30" s="71"/>
      <c r="D30" s="18"/>
      <c r="E30" s="18"/>
      <c r="F30" s="19"/>
      <c r="G30" s="18"/>
      <c r="H30" s="20"/>
    </row>
    <row r="31" spans="1:8" ht="31.5" customHeight="1">
      <c r="A31" s="12"/>
      <c r="B31" s="72" t="s">
        <v>20</v>
      </c>
      <c r="C31" s="73"/>
      <c r="D31" s="12"/>
      <c r="E31" s="12"/>
      <c r="F31" s="14"/>
      <c r="G31" s="12"/>
      <c r="H31" s="21">
        <f>SUM(H28:H30)</f>
        <v>504000</v>
      </c>
    </row>
    <row r="32" spans="1:8" ht="22.5">
      <c r="A32" s="22"/>
      <c r="B32" s="23"/>
      <c r="C32" s="23"/>
      <c r="D32" s="74" t="s">
        <v>21</v>
      </c>
      <c r="E32" s="74"/>
      <c r="F32" s="74"/>
      <c r="G32" s="74"/>
      <c r="H32" s="75"/>
    </row>
    <row r="33" spans="1:8" ht="22.5">
      <c r="A33" s="3" t="s">
        <v>22</v>
      </c>
      <c r="B33" s="4"/>
      <c r="C33" s="4"/>
      <c r="D33" s="4"/>
      <c r="E33" s="4"/>
      <c r="F33" s="4"/>
      <c r="G33" s="4"/>
      <c r="H33" s="5"/>
    </row>
    <row r="34" spans="1:8" ht="17.25" customHeight="1">
      <c r="A34" s="3"/>
      <c r="B34" s="4"/>
      <c r="C34" s="4"/>
      <c r="D34" s="4"/>
      <c r="E34" s="4"/>
      <c r="F34" s="4"/>
      <c r="G34" s="4"/>
      <c r="H34" s="5"/>
    </row>
    <row r="35" spans="1:8" ht="45">
      <c r="A35" s="24" t="s">
        <v>14</v>
      </c>
      <c r="B35" s="25"/>
      <c r="C35" s="76" t="s">
        <v>23</v>
      </c>
      <c r="D35" s="76" t="s">
        <v>49</v>
      </c>
      <c r="E35" s="76"/>
      <c r="F35" s="76" t="s">
        <v>24</v>
      </c>
      <c r="G35" s="76"/>
      <c r="H35" s="85" t="s">
        <v>25</v>
      </c>
    </row>
    <row r="36" spans="1:8" ht="22.5">
      <c r="A36" s="26"/>
      <c r="B36" s="27"/>
      <c r="C36" s="84"/>
      <c r="D36" s="27" t="s">
        <v>16</v>
      </c>
      <c r="E36" s="27" t="s">
        <v>18</v>
      </c>
      <c r="F36" s="27"/>
      <c r="G36" s="27"/>
      <c r="H36" s="86"/>
    </row>
    <row r="37" spans="1:8" ht="22.5">
      <c r="A37" s="28">
        <v>6006</v>
      </c>
      <c r="B37" s="29"/>
      <c r="C37" s="30">
        <f>H28</f>
        <v>480000</v>
      </c>
      <c r="D37" s="31">
        <v>0.05</v>
      </c>
      <c r="E37" s="29">
        <f>+C37*D37</f>
        <v>24000</v>
      </c>
      <c r="F37" s="31"/>
      <c r="G37" s="29"/>
      <c r="H37" s="32">
        <f>E37</f>
        <v>24000</v>
      </c>
    </row>
    <row r="38" spans="1:8" ht="22.5">
      <c r="A38" s="33" t="s">
        <v>20</v>
      </c>
      <c r="B38" s="34"/>
      <c r="C38" s="35">
        <f>SUM(C37)</f>
        <v>480000</v>
      </c>
      <c r="D38" s="36"/>
      <c r="E38" s="36">
        <f>SUM(E37)</f>
        <v>24000</v>
      </c>
      <c r="F38" s="36"/>
      <c r="G38" s="36"/>
      <c r="H38" s="37">
        <f>SUM(H37)</f>
        <v>24000</v>
      </c>
    </row>
    <row r="39" spans="1:8" ht="22.5">
      <c r="A39" s="3" t="s">
        <v>26</v>
      </c>
      <c r="B39" s="4"/>
      <c r="C39" s="4"/>
      <c r="D39" s="4"/>
      <c r="E39" s="4"/>
      <c r="F39" s="4"/>
      <c r="G39" s="4"/>
      <c r="H39" s="5"/>
    </row>
    <row r="40" spans="1:8" ht="22.5">
      <c r="A40" s="3"/>
      <c r="B40" s="4"/>
      <c r="C40" s="4"/>
      <c r="D40" s="4"/>
      <c r="E40" s="4"/>
      <c r="F40" s="4"/>
      <c r="G40" s="4"/>
      <c r="H40" s="5"/>
    </row>
    <row r="41" spans="1:8" ht="22.5">
      <c r="A41" s="8"/>
      <c r="B41" s="9"/>
      <c r="C41" s="9"/>
      <c r="D41" s="4"/>
      <c r="E41" s="4"/>
      <c r="F41" s="38"/>
      <c r="G41" s="4"/>
      <c r="H41" s="5"/>
    </row>
    <row r="42" spans="1:8" ht="22.5">
      <c r="A42" s="3"/>
      <c r="B42" s="4"/>
      <c r="C42" s="39"/>
      <c r="D42" s="40"/>
      <c r="E42" s="23"/>
      <c r="F42" s="23" t="s">
        <v>50</v>
      </c>
      <c r="G42" s="23"/>
      <c r="H42" s="41"/>
    </row>
    <row r="43" spans="1:8" ht="22.5">
      <c r="A43" s="3"/>
      <c r="B43" s="4"/>
      <c r="C43" s="4"/>
      <c r="D43" s="87" t="s">
        <v>51</v>
      </c>
      <c r="E43" s="88"/>
      <c r="F43" s="88"/>
      <c r="G43" s="88"/>
      <c r="H43" s="89"/>
    </row>
    <row r="44" spans="1:8" ht="22.5">
      <c r="A44" s="3" t="s">
        <v>27</v>
      </c>
      <c r="B44" s="4"/>
      <c r="C44" s="5"/>
      <c r="D44" s="58" t="s">
        <v>28</v>
      </c>
      <c r="E44" s="59"/>
      <c r="F44" s="90" t="s">
        <v>29</v>
      </c>
      <c r="G44" s="90"/>
      <c r="H44" s="69"/>
    </row>
    <row r="45" spans="1:8" ht="22.5">
      <c r="A45" s="3" t="s">
        <v>30</v>
      </c>
      <c r="B45" s="42"/>
      <c r="C45" s="5"/>
      <c r="D45" s="58" t="s">
        <v>31</v>
      </c>
      <c r="E45" s="59"/>
      <c r="F45" s="90" t="s">
        <v>52</v>
      </c>
      <c r="G45" s="91"/>
      <c r="H45" s="92"/>
    </row>
    <row r="46" spans="1:8" ht="22.5">
      <c r="A46" s="8"/>
      <c r="B46" s="9"/>
      <c r="C46" s="10"/>
      <c r="D46" s="65" t="s">
        <v>32</v>
      </c>
      <c r="E46" s="66"/>
      <c r="F46" s="77" t="s">
        <v>33</v>
      </c>
      <c r="G46" s="78"/>
      <c r="H46" s="79"/>
    </row>
    <row r="47" spans="1:8" ht="31.5">
      <c r="A47" s="43" t="s">
        <v>34</v>
      </c>
      <c r="B47" s="39"/>
      <c r="C47" s="39"/>
      <c r="D47" s="39"/>
      <c r="E47" s="39"/>
      <c r="F47" s="80" t="s">
        <v>35</v>
      </c>
      <c r="G47" s="80"/>
      <c r="H47" s="81"/>
    </row>
    <row r="48" spans="1:8" ht="22.5">
      <c r="A48" s="44" t="s">
        <v>36</v>
      </c>
      <c r="B48" s="45"/>
      <c r="C48" s="45"/>
      <c r="D48" s="4"/>
      <c r="E48" s="4"/>
      <c r="F48" s="59" t="s">
        <v>6</v>
      </c>
      <c r="G48" s="59"/>
      <c r="H48" s="60"/>
    </row>
    <row r="49" spans="1:8" ht="18.75" customHeight="1">
      <c r="A49" s="3" t="s">
        <v>37</v>
      </c>
      <c r="B49" s="4"/>
      <c r="C49" s="4"/>
      <c r="D49" s="4"/>
      <c r="E49" s="4"/>
      <c r="F49" s="59"/>
      <c r="G49" s="59"/>
      <c r="H49" s="60"/>
    </row>
    <row r="50" spans="1:8" ht="117.75" customHeight="1">
      <c r="A50" s="8"/>
      <c r="B50" s="9"/>
      <c r="C50" s="9"/>
      <c r="D50" s="9"/>
      <c r="E50" s="9"/>
      <c r="F50" s="82" t="s">
        <v>38</v>
      </c>
      <c r="G50" s="82"/>
      <c r="H50" s="83"/>
    </row>
  </sheetData>
  <mergeCells count="45">
    <mergeCell ref="D46:E46"/>
    <mergeCell ref="F46:H46"/>
    <mergeCell ref="F47:H47"/>
    <mergeCell ref="F50:H50"/>
    <mergeCell ref="C35:C36"/>
    <mergeCell ref="H35:H36"/>
    <mergeCell ref="F48:H49"/>
    <mergeCell ref="D43:H43"/>
    <mergeCell ref="D44:E44"/>
    <mergeCell ref="F44:H44"/>
    <mergeCell ref="D45:E45"/>
    <mergeCell ref="F45:H45"/>
    <mergeCell ref="B29:C29"/>
    <mergeCell ref="B30:C30"/>
    <mergeCell ref="B31:C31"/>
    <mergeCell ref="D32:H32"/>
    <mergeCell ref="D35:E35"/>
    <mergeCell ref="F35:G35"/>
    <mergeCell ref="B21:C21"/>
    <mergeCell ref="B22:C22"/>
    <mergeCell ref="B26:C26"/>
    <mergeCell ref="B27:C27"/>
    <mergeCell ref="B28:C28"/>
    <mergeCell ref="B16:C16"/>
    <mergeCell ref="B17:C17"/>
    <mergeCell ref="B18:C18"/>
    <mergeCell ref="B19:C19"/>
    <mergeCell ref="B20:C20"/>
    <mergeCell ref="A11:D11"/>
    <mergeCell ref="E11:H11"/>
    <mergeCell ref="A12:D12"/>
    <mergeCell ref="A13:D13"/>
    <mergeCell ref="A15:D15"/>
    <mergeCell ref="E15:H15"/>
    <mergeCell ref="A6:H6"/>
    <mergeCell ref="A7:H7"/>
    <mergeCell ref="A8:H8"/>
    <mergeCell ref="A9:H9"/>
    <mergeCell ref="A10:D10"/>
    <mergeCell ref="E10:H10"/>
    <mergeCell ref="A1:H1"/>
    <mergeCell ref="A2:H2"/>
    <mergeCell ref="A3:H3"/>
    <mergeCell ref="A4:H4"/>
    <mergeCell ref="A5:H5"/>
  </mergeCells>
  <pageMargins left="0.70866141732283505" right="0.70866141732283505" top="0.74803149606299202" bottom="0.74803149606299202" header="0.31496062992126" footer="0.31496062992126"/>
  <pageSetup paperSize="9" scale="50" orientation="portrait" r:id="rId1"/>
  <legacyDrawing r:id="rId2"/>
  <oleObjects>
    <oleObject progId="Wordpad.Document.1" shapeId="307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ADOODS</cp:lastModifiedBy>
  <cp:lastPrinted>2026-07-20T09:19:24Z</cp:lastPrinted>
  <dcterms:created xsi:type="dcterms:W3CDTF">2021-06-29T12:50:00Z</dcterms:created>
  <dcterms:modified xsi:type="dcterms:W3CDTF">2026-07-20T09:20:30Z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3809387EEF0B48F6AE836F63D3B889E3_12</vt:lpwstr>
  </property>
  <property fmtid="{D5CDD505-2E9C-101B-9397-08002B2CF9AE}" pid="3" name="KSOProductBuildVer">
    <vt:lpwstr>2057-12.2.0.23155</vt:lpwstr>
  </property>
</Properties>
</file>